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/>
  </bookViews>
  <sheets>
    <sheet name="首页" sheetId="1" r:id="rId1"/>
    <sheet name="辅助页" sheetId="6" state="hidden" r:id="rId2"/>
    <sheet name="工商银行" sheetId="2" r:id="rId3"/>
    <sheet name="光大银行" sheetId="3" r:id="rId4"/>
    <sheet name="交通银行" sheetId="4" r:id="rId5"/>
    <sheet name="平安银行" sheetId="5" r:id="rId6"/>
  </sheets>
  <externalReferences>
    <externalReference r:id="rId7"/>
    <externalReference r:id="rId8"/>
  </externalReferences>
  <definedNames>
    <definedName name="财务报表">辅助页!$D$1:$E$1</definedName>
    <definedName name="利润表">辅助页!$E$2:$E$35</definedName>
    <definedName name="投资类资产分析">辅助页!$M$2:$M$5</definedName>
    <definedName name="专题分析">辅助页!$L$1:$M$1</definedName>
    <definedName name="资产负债表">辅助页!$D$2:$D$50</definedName>
    <definedName name="资产质量">辅助页!$L$2:$L$15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1" i="4" l="1"/>
  <c r="J331" i="4"/>
  <c r="L327" i="3"/>
  <c r="J327" i="3"/>
  <c r="L328" i="2"/>
  <c r="J328" i="2"/>
  <c r="J317" i="5"/>
  <c r="I317" i="5"/>
  <c r="E318" i="5"/>
  <c r="F317" i="5"/>
  <c r="H317" i="5"/>
  <c r="I318" i="5"/>
  <c r="E317" i="5"/>
  <c r="K318" i="5"/>
  <c r="J318" i="5"/>
  <c r="G317" i="5"/>
  <c r="H318" i="5"/>
  <c r="G318" i="5"/>
  <c r="F318" i="5"/>
  <c r="K317" i="5"/>
  <c r="I15" i="1" l="1"/>
  <c r="H15" i="1"/>
  <c r="G15" i="1"/>
  <c r="F15" i="1"/>
  <c r="E15" i="1"/>
  <c r="D15" i="1"/>
  <c r="C15" i="1"/>
  <c r="E132" i="3" l="1"/>
  <c r="F132" i="3"/>
  <c r="G132" i="3"/>
  <c r="H132" i="3"/>
  <c r="I132" i="3"/>
  <c r="J132" i="3"/>
  <c r="E170" i="3" l="1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J135" i="4" l="1"/>
  <c r="J134" i="4" s="1"/>
  <c r="J132" i="4" s="1"/>
  <c r="C6" i="3"/>
  <c r="E14" i="3"/>
  <c r="J18" i="3"/>
  <c r="H24" i="3"/>
  <c r="F53" i="3"/>
  <c r="H73" i="3"/>
  <c r="H85" i="3"/>
  <c r="G109" i="3"/>
  <c r="I124" i="3"/>
  <c r="E44" i="3"/>
  <c r="H11" i="3"/>
  <c r="E58" i="3"/>
  <c r="E99" i="3"/>
  <c r="J16" i="3"/>
  <c r="E21" i="3"/>
  <c r="H55" i="3"/>
  <c r="K92" i="3"/>
  <c r="I99" i="3"/>
  <c r="I111" i="3"/>
  <c r="K158" i="3"/>
  <c r="E289" i="3"/>
  <c r="J278" i="3"/>
  <c r="G258" i="3"/>
  <c r="E255" i="3"/>
  <c r="G288" i="3"/>
  <c r="J289" i="3"/>
  <c r="J255" i="3"/>
  <c r="G300" i="3"/>
  <c r="I288" i="3"/>
  <c r="E276" i="3"/>
  <c r="J280" i="3"/>
  <c r="F258" i="3"/>
  <c r="F260" i="3"/>
  <c r="F290" i="3"/>
  <c r="K279" i="3"/>
  <c r="K254" i="3"/>
  <c r="F280" i="3"/>
  <c r="J300" i="3"/>
  <c r="C6" i="4"/>
  <c r="E260" i="3"/>
  <c r="K34" i="4"/>
  <c r="E12" i="4"/>
  <c r="F33" i="4"/>
  <c r="J59" i="3"/>
  <c r="H16" i="3"/>
  <c r="K138" i="3"/>
  <c r="K98" i="3"/>
  <c r="H53" i="3"/>
  <c r="J43" i="3"/>
  <c r="G26" i="3"/>
  <c r="I119" i="3"/>
  <c r="I108" i="3"/>
  <c r="G78" i="3"/>
  <c r="H69" i="3"/>
  <c r="K59" i="3"/>
  <c r="G18" i="3"/>
  <c r="I13" i="3"/>
  <c r="G46" i="3"/>
  <c r="E122" i="3"/>
  <c r="E109" i="3"/>
  <c r="H103" i="3"/>
  <c r="H94" i="3"/>
  <c r="F77" i="3"/>
  <c r="H84" i="3"/>
  <c r="G73" i="3"/>
  <c r="F59" i="3"/>
  <c r="J60" i="3"/>
  <c r="H58" i="3"/>
  <c r="H51" i="3"/>
  <c r="F54" i="3"/>
  <c r="E45" i="3"/>
  <c r="K34" i="3"/>
  <c r="J21" i="3"/>
  <c r="I12" i="3"/>
  <c r="G40" i="3"/>
  <c r="F27" i="3"/>
  <c r="E17" i="3"/>
  <c r="J44" i="3"/>
  <c r="I34" i="3"/>
  <c r="H21" i="3"/>
  <c r="G12" i="3"/>
  <c r="I40" i="3"/>
  <c r="H27" i="3"/>
  <c r="G17" i="3"/>
  <c r="J103" i="3"/>
  <c r="K110" i="3"/>
  <c r="H98" i="3"/>
  <c r="G99" i="3"/>
  <c r="F89" i="3"/>
  <c r="E82" i="3"/>
  <c r="F78" i="3"/>
  <c r="K76" i="3"/>
  <c r="F76" i="3"/>
  <c r="I69" i="3"/>
  <c r="H57" i="3"/>
  <c r="J56" i="3"/>
  <c r="K58" i="3"/>
  <c r="K57" i="3"/>
  <c r="H52" i="3"/>
  <c r="G43" i="3"/>
  <c r="F33" i="3"/>
  <c r="E20" i="3"/>
  <c r="K10" i="3"/>
  <c r="I37" i="3"/>
  <c r="H25" i="3"/>
  <c r="G15" i="3"/>
  <c r="E43" i="3"/>
  <c r="K30" i="3"/>
  <c r="J19" i="3"/>
  <c r="I10" i="3"/>
  <c r="K37" i="3"/>
  <c r="J25" i="3"/>
  <c r="I15" i="3"/>
  <c r="I12" i="4"/>
  <c r="J21" i="4"/>
  <c r="F40" i="4"/>
  <c r="H45" i="4"/>
  <c r="J23" i="4"/>
  <c r="G41" i="4"/>
  <c r="E13" i="4"/>
  <c r="H35" i="4"/>
  <c r="F24" i="4"/>
  <c r="J28" i="4"/>
  <c r="E45" i="4"/>
  <c r="K33" i="4"/>
  <c r="J20" i="4"/>
  <c r="I11" i="4"/>
  <c r="K15" i="4"/>
  <c r="G25" i="4"/>
  <c r="F30" i="4"/>
  <c r="F13" i="4"/>
  <c r="G23" i="4"/>
  <c r="G38" i="4"/>
  <c r="J43" i="4"/>
  <c r="H20" i="4"/>
  <c r="H40" i="4"/>
  <c r="J10" i="4"/>
  <c r="J34" i="4"/>
  <c r="E27" i="4"/>
  <c r="I27" i="4"/>
  <c r="J46" i="4"/>
  <c r="I35" i="4"/>
  <c r="H23" i="4"/>
  <c r="G13" i="4"/>
  <c r="J45" i="4"/>
  <c r="G19" i="4"/>
  <c r="G42" i="4"/>
  <c r="F12" i="4"/>
  <c r="G18" i="4"/>
  <c r="H28" i="4"/>
  <c r="G24" i="4"/>
  <c r="K35" i="4"/>
  <c r="J42" i="4"/>
  <c r="I17" i="4"/>
  <c r="I33" i="4"/>
  <c r="K25" i="4"/>
  <c r="E34" i="4"/>
  <c r="I10" i="4"/>
  <c r="G37" i="4"/>
  <c r="F25" i="4"/>
  <c r="E15" i="4"/>
  <c r="H255" i="3"/>
  <c r="I254" i="3"/>
  <c r="J281" i="3"/>
  <c r="J26" i="4"/>
  <c r="I53" i="3"/>
  <c r="F44" i="3"/>
  <c r="G92" i="3"/>
  <c r="I33" i="3"/>
  <c r="H120" i="3"/>
  <c r="E83" i="3"/>
  <c r="J69" i="3"/>
  <c r="J13" i="3"/>
  <c r="J41" i="3"/>
  <c r="E123" i="3"/>
  <c r="I98" i="3"/>
  <c r="F84" i="3"/>
  <c r="I70" i="3"/>
  <c r="K56" i="3"/>
  <c r="G58" i="3"/>
  <c r="K51" i="3"/>
  <c r="I30" i="3"/>
  <c r="G10" i="3"/>
  <c r="K24" i="3"/>
  <c r="J14" i="3"/>
  <c r="G30" i="3"/>
  <c r="E10" i="3"/>
  <c r="F25" i="3"/>
  <c r="F111" i="3"/>
  <c r="F94" i="3"/>
  <c r="E96" i="3"/>
  <c r="J77" i="3"/>
  <c r="E85" i="3"/>
  <c r="K70" i="3"/>
  <c r="H54" i="3"/>
  <c r="G59" i="3"/>
  <c r="E41" i="3"/>
  <c r="J17" i="3"/>
  <c r="G35" i="3"/>
  <c r="E13" i="3"/>
  <c r="I27" i="3"/>
  <c r="J45" i="3"/>
  <c r="H23" i="3"/>
  <c r="K14" i="4"/>
  <c r="E36" i="4"/>
  <c r="H41" i="4"/>
  <c r="F37" i="4"/>
  <c r="F27" i="4"/>
  <c r="I23" i="4"/>
  <c r="J41" i="4"/>
  <c r="H18" i="4"/>
  <c r="E38" i="4"/>
  <c r="F11" i="4"/>
  <c r="H15" i="4"/>
  <c r="G35" i="4"/>
  <c r="G11" i="4"/>
  <c r="K45" i="4"/>
  <c r="E23" i="4"/>
  <c r="H43" i="4"/>
  <c r="F20" i="4"/>
  <c r="E42" i="4"/>
  <c r="J36" i="4"/>
  <c r="I20" i="4"/>
  <c r="F14" i="4"/>
  <c r="J38" i="4"/>
  <c r="I21" i="4"/>
  <c r="H26" i="4"/>
  <c r="E35" i="4"/>
  <c r="J12" i="4"/>
  <c r="G36" i="3"/>
  <c r="J46" i="3"/>
  <c r="G82" i="3"/>
  <c r="K111" i="3"/>
  <c r="I43" i="3"/>
  <c r="E53" i="3"/>
  <c r="K120" i="3"/>
  <c r="G77" i="3"/>
  <c r="K122" i="3"/>
  <c r="J259" i="3"/>
  <c r="F296" i="3"/>
  <c r="H288" i="3"/>
  <c r="J279" i="3"/>
  <c r="F212" i="3"/>
  <c r="I279" i="3"/>
  <c r="K260" i="3"/>
  <c r="H300" i="3"/>
  <c r="K257" i="3"/>
  <c r="I45" i="4"/>
  <c r="E283" i="3"/>
  <c r="J73" i="3"/>
  <c r="J11" i="3"/>
  <c r="E84" i="3"/>
  <c r="E38" i="3"/>
  <c r="K103" i="3"/>
  <c r="I85" i="3"/>
  <c r="H14" i="3"/>
  <c r="I18" i="3"/>
  <c r="G24" i="3"/>
  <c r="E30" i="3"/>
  <c r="J57" i="3"/>
  <c r="G74" i="3"/>
  <c r="J90" i="3"/>
  <c r="I102" i="3"/>
  <c r="K124" i="3"/>
  <c r="J15" i="3"/>
  <c r="I20" i="3"/>
  <c r="G70" i="3"/>
  <c r="H102" i="3"/>
  <c r="G21" i="3"/>
  <c r="F34" i="3"/>
  <c r="G53" i="3"/>
  <c r="K102" i="3"/>
  <c r="K119" i="3"/>
  <c r="H111" i="3"/>
  <c r="E248" i="3"/>
  <c r="G291" i="3"/>
  <c r="E281" i="3"/>
  <c r="I260" i="3"/>
  <c r="H278" i="3"/>
  <c r="H231" i="3"/>
  <c r="E258" i="3"/>
  <c r="I231" i="3"/>
  <c r="K290" i="3"/>
  <c r="G278" i="3"/>
  <c r="I255" i="3"/>
  <c r="H280" i="3"/>
  <c r="E254" i="3"/>
  <c r="F295" i="3"/>
  <c r="G283" i="3"/>
  <c r="F257" i="3"/>
  <c r="I295" i="3"/>
  <c r="J16" i="4"/>
  <c r="E46" i="4"/>
  <c r="G79" i="3"/>
  <c r="J122" i="3"/>
  <c r="J52" i="3"/>
  <c r="F16" i="3"/>
  <c r="K94" i="3"/>
  <c r="G55" i="3"/>
  <c r="K45" i="3"/>
  <c r="J102" i="3"/>
  <c r="E98" i="3"/>
  <c r="F82" i="3"/>
  <c r="F56" i="3"/>
  <c r="E60" i="3"/>
  <c r="J42" i="3"/>
  <c r="H19" i="3"/>
  <c r="E37" i="3"/>
  <c r="H42" i="3"/>
  <c r="F19" i="3"/>
  <c r="G37" i="3"/>
  <c r="E15" i="3"/>
  <c r="E108" i="3"/>
  <c r="E89" i="3"/>
  <c r="J85" i="3"/>
  <c r="J74" i="3"/>
  <c r="F55" i="3"/>
  <c r="I56" i="3"/>
  <c r="E48" i="3"/>
  <c r="K27" i="3"/>
  <c r="H45" i="3"/>
  <c r="F23" i="3"/>
  <c r="J40" i="3"/>
  <c r="H17" i="3"/>
  <c r="I35" i="3"/>
  <c r="G13" i="3"/>
  <c r="E25" i="4"/>
  <c r="I13" i="4"/>
  <c r="I46" i="4"/>
  <c r="F19" i="4"/>
  <c r="I28" i="4"/>
  <c r="K11" i="4"/>
  <c r="G21" i="4"/>
  <c r="I25" i="4"/>
  <c r="J40" i="4"/>
  <c r="H36" i="4"/>
  <c r="K24" i="4"/>
  <c r="H21" i="4"/>
  <c r="G33" i="4"/>
  <c r="E11" i="4"/>
  <c r="J19" i="4"/>
  <c r="H11" i="4"/>
  <c r="H42" i="4"/>
  <c r="G28" i="4"/>
  <c r="F45" i="4"/>
  <c r="K20" i="4"/>
  <c r="F46" i="4"/>
  <c r="K21" i="4"/>
  <c r="F30" i="3"/>
  <c r="E42" i="3"/>
  <c r="J51" i="3"/>
  <c r="H99" i="3"/>
  <c r="K156" i="3"/>
  <c r="J78" i="3"/>
  <c r="G16" i="3"/>
  <c r="J26" i="3"/>
  <c r="G123" i="3"/>
  <c r="G90" i="3"/>
  <c r="F254" i="3"/>
  <c r="H283" i="3"/>
  <c r="J276" i="3"/>
  <c r="J256" i="3"/>
  <c r="G259" i="3"/>
  <c r="G296" i="3"/>
  <c r="J257" i="3"/>
  <c r="G255" i="3"/>
  <c r="K278" i="3"/>
  <c r="J290" i="3"/>
  <c r="F10" i="4"/>
  <c r="I16" i="4"/>
  <c r="F21" i="3"/>
  <c r="G110" i="3"/>
  <c r="G48" i="3"/>
  <c r="K123" i="3"/>
  <c r="I96" i="3"/>
  <c r="E55" i="3"/>
  <c r="G51" i="3"/>
  <c r="G120" i="3"/>
  <c r="I82" i="3"/>
  <c r="E78" i="3"/>
  <c r="K276" i="3"/>
  <c r="F300" i="3"/>
  <c r="E277" i="3"/>
  <c r="H279" i="3"/>
  <c r="F281" i="3"/>
  <c r="G36" i="4"/>
  <c r="E12" i="3"/>
  <c r="G38" i="3"/>
  <c r="H90" i="3"/>
  <c r="E36" i="3"/>
  <c r="I23" i="3"/>
  <c r="G119" i="3"/>
  <c r="H92" i="3"/>
  <c r="K82" i="3"/>
  <c r="K69" i="3"/>
  <c r="I51" i="3"/>
  <c r="H56" i="3"/>
  <c r="F37" i="3"/>
  <c r="K14" i="3"/>
  <c r="H30" i="3"/>
  <c r="F10" i="3"/>
  <c r="J24" i="3"/>
  <c r="K42" i="3"/>
  <c r="I19" i="3"/>
  <c r="F108" i="3"/>
  <c r="F96" i="3"/>
  <c r="G84" i="3"/>
  <c r="F79" i="3"/>
  <c r="K73" i="3"/>
  <c r="K60" i="3"/>
  <c r="E52" i="3"/>
  <c r="I45" i="3"/>
  <c r="G23" i="3"/>
  <c r="K40" i="3"/>
  <c r="I17" i="3"/>
  <c r="F35" i="3"/>
  <c r="K12" i="3"/>
  <c r="E28" i="3"/>
  <c r="G10" i="4"/>
  <c r="H46" i="4"/>
  <c r="F34" i="4"/>
  <c r="F23" i="4"/>
  <c r="F28" i="4"/>
  <c r="K12" i="4"/>
  <c r="E24" i="4"/>
  <c r="F35" i="4"/>
  <c r="E40" i="4"/>
  <c r="E20" i="4"/>
  <c r="H16" i="4"/>
  <c r="I43" i="4"/>
  <c r="J37" i="4"/>
  <c r="H13" i="4"/>
  <c r="K37" i="4"/>
  <c r="I15" i="4"/>
  <c r="G40" i="4"/>
  <c r="E19" i="4"/>
  <c r="F26" i="4"/>
  <c r="K38" i="4"/>
  <c r="J27" i="4"/>
  <c r="H33" i="4"/>
  <c r="F15" i="4"/>
  <c r="H27" i="4"/>
  <c r="F276" i="3"/>
  <c r="F102" i="3"/>
  <c r="G60" i="3"/>
  <c r="H18" i="3"/>
  <c r="K85" i="3"/>
  <c r="G52" i="3"/>
  <c r="F48" i="3"/>
  <c r="I42" i="3"/>
  <c r="K36" i="3"/>
  <c r="J30" i="3"/>
  <c r="G94" i="3"/>
  <c r="H82" i="3"/>
  <c r="F70" i="3"/>
  <c r="J54" i="3"/>
  <c r="F13" i="3"/>
  <c r="E23" i="3"/>
  <c r="K17" i="3"/>
  <c r="J18" i="4"/>
  <c r="G45" i="4"/>
  <c r="E10" i="4"/>
  <c r="K13" i="4"/>
  <c r="K10" i="4"/>
  <c r="E33" i="4"/>
  <c r="I34" i="4"/>
  <c r="J25" i="4"/>
  <c r="E26" i="4"/>
  <c r="E16" i="4"/>
  <c r="K46" i="4"/>
  <c r="G12" i="4"/>
  <c r="G17" i="4"/>
  <c r="G96" i="3"/>
  <c r="I59" i="3"/>
  <c r="K108" i="3"/>
  <c r="I290" i="3"/>
  <c r="I300" i="3"/>
  <c r="G83" i="3"/>
  <c r="I41" i="3"/>
  <c r="E120" i="3"/>
  <c r="F85" i="3"/>
  <c r="K53" i="3"/>
  <c r="H40" i="3"/>
  <c r="J34" i="3"/>
  <c r="E27" i="3"/>
  <c r="K21" i="3"/>
  <c r="J96" i="3"/>
  <c r="H83" i="3"/>
  <c r="K52" i="3"/>
  <c r="J48" i="3"/>
  <c r="K19" i="3"/>
  <c r="F15" i="3"/>
  <c r="E11" i="3"/>
  <c r="H37" i="4"/>
  <c r="J36" i="3"/>
  <c r="G56" i="3"/>
  <c r="I11" i="3"/>
  <c r="G122" i="3"/>
  <c r="E94" i="3"/>
  <c r="H256" i="3"/>
  <c r="E212" i="3"/>
  <c r="G254" i="3"/>
  <c r="E278" i="3"/>
  <c r="G281" i="3"/>
  <c r="K36" i="4"/>
  <c r="E40" i="3"/>
  <c r="K25" i="3"/>
  <c r="E79" i="3"/>
  <c r="K35" i="3"/>
  <c r="E24" i="3"/>
  <c r="E110" i="3"/>
  <c r="I90" i="3"/>
  <c r="F74" i="3"/>
  <c r="I54" i="3"/>
  <c r="E56" i="3"/>
  <c r="H48" i="3"/>
  <c r="G27" i="3"/>
  <c r="K44" i="3"/>
  <c r="I21" i="3"/>
  <c r="F40" i="3"/>
  <c r="K16" i="3"/>
  <c r="E35" i="3"/>
  <c r="J12" i="3"/>
  <c r="J99" i="3"/>
  <c r="F99" i="3"/>
  <c r="J84" i="3"/>
  <c r="J82" i="3"/>
  <c r="H70" i="3"/>
  <c r="F52" i="3"/>
  <c r="E57" i="3"/>
  <c r="J37" i="3"/>
  <c r="H15" i="3"/>
  <c r="E33" i="3"/>
  <c r="J10" i="3"/>
  <c r="G25" i="3"/>
  <c r="H43" i="3"/>
  <c r="F20" i="3"/>
  <c r="F17" i="4"/>
  <c r="K28" i="4"/>
  <c r="F43" i="4"/>
  <c r="I42" i="4"/>
  <c r="I14" i="4"/>
  <c r="H38" i="4"/>
  <c r="F16" i="4"/>
  <c r="G43" i="4"/>
  <c r="H14" i="4"/>
  <c r="K27" i="4"/>
  <c r="I36" i="4"/>
  <c r="I30" i="4"/>
  <c r="J14" i="4"/>
  <c r="G16" i="4"/>
  <c r="E28" i="4"/>
  <c r="F42" i="4"/>
  <c r="K30" i="4"/>
  <c r="J13" i="4"/>
  <c r="I37" i="4"/>
  <c r="F18" i="4"/>
  <c r="E41" i="4"/>
  <c r="K16" i="4"/>
  <c r="K42" i="4"/>
  <c r="I19" i="4"/>
  <c r="K41" i="3"/>
  <c r="E77" i="3"/>
  <c r="K15" i="3"/>
  <c r="H26" i="3"/>
  <c r="F123" i="3"/>
  <c r="E291" i="3"/>
  <c r="K277" i="3"/>
  <c r="I257" i="3"/>
  <c r="J248" i="3"/>
  <c r="E21" i="4"/>
  <c r="J123" i="3"/>
  <c r="G28" i="3"/>
  <c r="K109" i="3"/>
  <c r="I74" i="3"/>
  <c r="J53" i="3"/>
  <c r="E25" i="3"/>
  <c r="G19" i="3"/>
  <c r="I14" i="3"/>
  <c r="H10" i="3"/>
  <c r="G89" i="3"/>
  <c r="H78" i="3"/>
  <c r="F60" i="3"/>
  <c r="H35" i="3"/>
  <c r="J27" i="3"/>
  <c r="G45" i="3"/>
  <c r="F41" i="3"/>
  <c r="H19" i="4"/>
  <c r="I38" i="4"/>
  <c r="F36" i="4"/>
  <c r="H30" i="4"/>
  <c r="K43" i="4"/>
  <c r="K19" i="4"/>
  <c r="J11" i="4"/>
  <c r="E14" i="4"/>
  <c r="G34" i="4"/>
  <c r="E37" i="4"/>
  <c r="I40" i="4"/>
  <c r="I46" i="3"/>
  <c r="K38" i="3"/>
  <c r="I291" i="3"/>
  <c r="F283" i="3"/>
  <c r="J288" i="3"/>
  <c r="I58" i="3"/>
  <c r="I110" i="3"/>
  <c r="F28" i="3"/>
  <c r="I92" i="3"/>
  <c r="F69" i="3"/>
  <c r="J58" i="3"/>
  <c r="F17" i="3"/>
  <c r="H12" i="3"/>
  <c r="F45" i="3"/>
  <c r="H110" i="3"/>
  <c r="K89" i="3"/>
  <c r="E74" i="3"/>
  <c r="G54" i="3"/>
  <c r="I25" i="3"/>
  <c r="F43" i="3"/>
  <c r="H37" i="3"/>
  <c r="G33" i="3"/>
  <c r="G27" i="4"/>
  <c r="J33" i="4"/>
  <c r="G46" i="4"/>
  <c r="I41" i="4"/>
  <c r="K17" i="4"/>
  <c r="E43" i="4"/>
  <c r="J30" i="4"/>
  <c r="H17" i="4"/>
  <c r="J17" i="4"/>
  <c r="K26" i="4"/>
  <c r="I26" i="4"/>
  <c r="K23" i="4"/>
  <c r="E17" i="4"/>
  <c r="J24" i="4"/>
  <c r="K41" i="4"/>
  <c r="H25" i="4"/>
  <c r="J35" i="4"/>
  <c r="H10" i="4"/>
  <c r="E18" i="4"/>
  <c r="G26" i="4"/>
  <c r="F41" i="4"/>
  <c r="G20" i="4"/>
  <c r="H12" i="4"/>
  <c r="E55" i="4"/>
  <c r="F55" i="4"/>
  <c r="F58" i="4"/>
  <c r="J53" i="4"/>
  <c r="K59" i="4"/>
  <c r="G53" i="4"/>
  <c r="K56" i="4"/>
  <c r="F54" i="4"/>
  <c r="G60" i="4"/>
  <c r="K58" i="4"/>
  <c r="I58" i="4"/>
  <c r="J56" i="4"/>
  <c r="G57" i="4"/>
  <c r="G48" i="4"/>
  <c r="H60" i="4"/>
  <c r="E56" i="4"/>
  <c r="H54" i="4"/>
  <c r="I55" i="4"/>
  <c r="F48" i="4"/>
  <c r="H56" i="4"/>
  <c r="E51" i="4"/>
  <c r="G56" i="4"/>
  <c r="J48" i="4"/>
  <c r="J55" i="4"/>
  <c r="F56" i="4"/>
  <c r="G51" i="4"/>
  <c r="E57" i="4"/>
  <c r="K54" i="4"/>
  <c r="J51" i="4"/>
  <c r="K55" i="4"/>
  <c r="E54" i="4"/>
  <c r="K60" i="4"/>
  <c r="K48" i="4"/>
  <c r="I56" i="4"/>
  <c r="F51" i="4"/>
  <c r="J57" i="4"/>
  <c r="I48" i="4"/>
  <c r="H51" i="4"/>
  <c r="I60" i="4"/>
  <c r="K53" i="4"/>
  <c r="J54" i="4"/>
  <c r="I59" i="4"/>
  <c r="I53" i="4"/>
  <c r="E58" i="4"/>
  <c r="G58" i="4"/>
  <c r="E59" i="4"/>
  <c r="H55" i="4"/>
  <c r="K57" i="4"/>
  <c r="H57" i="4"/>
  <c r="J58" i="4"/>
  <c r="G54" i="4"/>
  <c r="K51" i="4"/>
  <c r="F53" i="4"/>
  <c r="H58" i="4"/>
  <c r="J59" i="4"/>
  <c r="G59" i="4"/>
  <c r="H59" i="4"/>
  <c r="I54" i="4"/>
  <c r="H48" i="4"/>
  <c r="G55" i="4"/>
  <c r="E48" i="4"/>
  <c r="F60" i="4"/>
  <c r="E60" i="4"/>
  <c r="F57" i="4"/>
  <c r="E53" i="4"/>
  <c r="J60" i="4"/>
  <c r="H53" i="4"/>
  <c r="I57" i="4"/>
  <c r="F59" i="4"/>
  <c r="I51" i="4"/>
  <c r="I69" i="4"/>
  <c r="K69" i="4"/>
  <c r="J69" i="4"/>
  <c r="E69" i="4"/>
  <c r="F69" i="4"/>
  <c r="J70" i="4"/>
  <c r="K70" i="4"/>
  <c r="H70" i="4"/>
  <c r="G69" i="4"/>
  <c r="G70" i="4"/>
  <c r="F70" i="4"/>
  <c r="E70" i="4"/>
  <c r="I70" i="4"/>
  <c r="H69" i="4"/>
  <c r="J73" i="4"/>
  <c r="F73" i="4"/>
  <c r="E73" i="4"/>
  <c r="G73" i="4"/>
  <c r="J74" i="4"/>
  <c r="K73" i="4"/>
  <c r="H74" i="4"/>
  <c r="G74" i="4"/>
  <c r="I74" i="4"/>
  <c r="I73" i="4"/>
  <c r="E74" i="4"/>
  <c r="H73" i="4"/>
  <c r="K74" i="4"/>
  <c r="F74" i="4"/>
  <c r="E79" i="4"/>
  <c r="F78" i="4"/>
  <c r="I77" i="4"/>
  <c r="I78" i="4"/>
  <c r="K77" i="4"/>
  <c r="E77" i="4"/>
  <c r="I76" i="4"/>
  <c r="G77" i="4"/>
  <c r="H76" i="4"/>
  <c r="G79" i="4"/>
  <c r="H77" i="4"/>
  <c r="J79" i="4"/>
  <c r="G78" i="4"/>
  <c r="E76" i="4"/>
  <c r="F79" i="4"/>
  <c r="J77" i="4"/>
  <c r="J76" i="4"/>
  <c r="G76" i="4"/>
  <c r="F76" i="4"/>
  <c r="E78" i="4"/>
  <c r="H78" i="4"/>
  <c r="I79" i="4"/>
  <c r="J78" i="4"/>
  <c r="K76" i="4"/>
  <c r="K78" i="4"/>
  <c r="K79" i="4"/>
  <c r="H79" i="4"/>
  <c r="F77" i="4"/>
  <c r="F85" i="4"/>
  <c r="J83" i="4"/>
  <c r="H82" i="4"/>
  <c r="H83" i="4"/>
  <c r="G85" i="4"/>
  <c r="J82" i="4"/>
  <c r="K82" i="4"/>
  <c r="G82" i="4"/>
  <c r="E84" i="4"/>
  <c r="I84" i="4"/>
  <c r="F83" i="4"/>
  <c r="I85" i="4"/>
  <c r="K85" i="4"/>
  <c r="I82" i="4"/>
  <c r="F84" i="4"/>
  <c r="J84" i="4"/>
  <c r="I83" i="4"/>
  <c r="K83" i="4"/>
  <c r="G83" i="4"/>
  <c r="H85" i="4"/>
  <c r="J85" i="4"/>
  <c r="K84" i="4"/>
  <c r="H84" i="4"/>
  <c r="E82" i="4"/>
  <c r="E83" i="4"/>
  <c r="E85" i="4"/>
  <c r="F82" i="4"/>
  <c r="G84" i="4"/>
  <c r="H90" i="4"/>
  <c r="K90" i="4"/>
  <c r="I89" i="4"/>
  <c r="J90" i="4"/>
  <c r="E90" i="4"/>
  <c r="E89" i="4"/>
  <c r="J89" i="4"/>
  <c r="G89" i="4"/>
  <c r="G90" i="4"/>
  <c r="F90" i="4"/>
  <c r="I90" i="4"/>
  <c r="K89" i="4"/>
  <c r="H89" i="4"/>
  <c r="F89" i="4"/>
  <c r="J103" i="4"/>
  <c r="E92" i="4"/>
  <c r="J94" i="4"/>
  <c r="G98" i="4"/>
  <c r="H94" i="4"/>
  <c r="G103" i="4"/>
  <c r="E102" i="4"/>
  <c r="G99" i="4"/>
  <c r="K102" i="4"/>
  <c r="I103" i="4"/>
  <c r="G94" i="4"/>
  <c r="I98" i="4"/>
  <c r="H92" i="4"/>
  <c r="F94" i="4"/>
  <c r="E98" i="4"/>
  <c r="F99" i="4"/>
  <c r="H103" i="4"/>
  <c r="K99" i="4"/>
  <c r="K94" i="4"/>
  <c r="J99" i="4"/>
  <c r="G92" i="4"/>
  <c r="G102" i="4"/>
  <c r="E103" i="4"/>
  <c r="K103" i="4"/>
  <c r="E99" i="4"/>
  <c r="H98" i="4"/>
  <c r="E94" i="4"/>
  <c r="I99" i="4"/>
  <c r="F92" i="4"/>
  <c r="I92" i="4"/>
  <c r="J102" i="4"/>
  <c r="K98" i="4"/>
  <c r="F98" i="4"/>
  <c r="F102" i="4"/>
  <c r="I102" i="4"/>
  <c r="K92" i="4"/>
  <c r="H102" i="4"/>
  <c r="H99" i="4"/>
  <c r="J98" i="4"/>
  <c r="J92" i="4"/>
  <c r="I94" i="4"/>
  <c r="F103" i="4"/>
  <c r="F110" i="4"/>
  <c r="E108" i="4"/>
  <c r="K108" i="4"/>
  <c r="E110" i="4"/>
  <c r="F108" i="4"/>
  <c r="G110" i="4"/>
  <c r="G109" i="4"/>
  <c r="E111" i="4"/>
  <c r="K109" i="4"/>
  <c r="J109" i="4"/>
  <c r="F109" i="4"/>
  <c r="I110" i="4"/>
  <c r="I109" i="4"/>
  <c r="H108" i="4"/>
  <c r="H110" i="4"/>
  <c r="J111" i="4"/>
  <c r="I111" i="4"/>
  <c r="I108" i="4"/>
  <c r="H109" i="4"/>
  <c r="H111" i="4"/>
  <c r="G111" i="4"/>
  <c r="K110" i="4"/>
  <c r="J110" i="4"/>
  <c r="G108" i="4"/>
  <c r="F111" i="4"/>
  <c r="J108" i="4"/>
  <c r="E109" i="4"/>
  <c r="J120" i="4"/>
  <c r="J119" i="4"/>
  <c r="H120" i="4"/>
  <c r="I120" i="4"/>
  <c r="I119" i="4"/>
  <c r="G119" i="4"/>
  <c r="G120" i="4"/>
  <c r="H119" i="4"/>
  <c r="F119" i="4"/>
  <c r="K119" i="4"/>
  <c r="F120" i="4"/>
  <c r="E120" i="4"/>
  <c r="K120" i="4"/>
  <c r="E119" i="4"/>
  <c r="G124" i="4"/>
  <c r="J124" i="4"/>
  <c r="K124" i="4"/>
  <c r="K122" i="4"/>
  <c r="G123" i="4"/>
  <c r="J123" i="4"/>
  <c r="K123" i="4"/>
  <c r="F123" i="4"/>
  <c r="H122" i="4"/>
  <c r="J122" i="4"/>
  <c r="F124" i="4"/>
  <c r="G122" i="4"/>
  <c r="H124" i="4"/>
  <c r="I124" i="4"/>
  <c r="H123" i="4"/>
  <c r="E123" i="4"/>
  <c r="E124" i="4"/>
  <c r="F122" i="4"/>
  <c r="E122" i="4"/>
  <c r="I122" i="4"/>
  <c r="I123" i="4"/>
  <c r="J133" i="4"/>
  <c r="G133" i="4"/>
  <c r="I133" i="4"/>
  <c r="K133" i="4"/>
  <c r="H133" i="4"/>
  <c r="F133" i="4"/>
  <c r="E133" i="4"/>
  <c r="K136" i="4"/>
  <c r="I138" i="4"/>
  <c r="E136" i="4"/>
  <c r="F136" i="4"/>
  <c r="I136" i="4"/>
  <c r="K138" i="4"/>
  <c r="E138" i="4"/>
  <c r="K137" i="4"/>
  <c r="H138" i="4"/>
  <c r="G136" i="4"/>
  <c r="H137" i="4"/>
  <c r="F138" i="4"/>
  <c r="G137" i="4"/>
  <c r="F137" i="4"/>
  <c r="H136" i="4"/>
  <c r="E137" i="4"/>
  <c r="I137" i="4"/>
  <c r="G138" i="4"/>
  <c r="K74" i="3"/>
  <c r="G76" i="3"/>
  <c r="I77" i="3"/>
  <c r="H79" i="3"/>
  <c r="I89" i="3"/>
  <c r="J98" i="3"/>
  <c r="K96" i="3"/>
  <c r="J109" i="3"/>
  <c r="F103" i="3"/>
  <c r="G111" i="3"/>
  <c r="F120" i="3"/>
  <c r="G124" i="3"/>
  <c r="I28" i="3"/>
  <c r="H13" i="3"/>
  <c r="J35" i="3"/>
  <c r="F18" i="3"/>
  <c r="H41" i="3"/>
  <c r="K23" i="3"/>
  <c r="F46" i="3"/>
  <c r="I52" i="3"/>
  <c r="F51" i="3"/>
  <c r="H74" i="3"/>
  <c r="J79" i="3"/>
  <c r="K84" i="3"/>
  <c r="G98" i="3"/>
  <c r="J108" i="3"/>
  <c r="J110" i="3"/>
  <c r="E124" i="3"/>
  <c r="K137" i="3"/>
  <c r="H38" i="3"/>
  <c r="G11" i="3"/>
  <c r="E16" i="3"/>
  <c r="I57" i="3"/>
  <c r="E69" i="3"/>
  <c r="E76" i="3"/>
  <c r="G102" i="3"/>
  <c r="I120" i="3"/>
  <c r="F12" i="3"/>
  <c r="K20" i="3"/>
  <c r="I26" i="3"/>
  <c r="G34" i="3"/>
  <c r="I60" i="3"/>
  <c r="I73" i="3"/>
  <c r="J231" i="3"/>
  <c r="K283" i="3"/>
  <c r="K280" i="3"/>
  <c r="K281" i="3"/>
  <c r="H289" i="3"/>
  <c r="H254" i="3"/>
  <c r="I276" i="3"/>
  <c r="F231" i="3"/>
  <c r="H291" i="3"/>
  <c r="I277" i="3"/>
  <c r="F248" i="3"/>
  <c r="J283" i="3"/>
  <c r="I258" i="3"/>
  <c r="J291" i="3"/>
  <c r="K289" i="3"/>
  <c r="J295" i="3"/>
  <c r="F256" i="3"/>
  <c r="G257" i="3"/>
  <c r="F288" i="3"/>
  <c r="K258" i="3"/>
  <c r="H295" i="3"/>
  <c r="I281" i="3"/>
  <c r="E257" i="3"/>
  <c r="K291" i="3"/>
  <c r="H277" i="3"/>
  <c r="I248" i="3"/>
  <c r="H290" i="3"/>
  <c r="F278" i="3"/>
  <c r="G276" i="3"/>
  <c r="G277" i="3"/>
  <c r="G212" i="3"/>
  <c r="K288" i="3"/>
  <c r="E280" i="3"/>
  <c r="E256" i="3"/>
  <c r="G290" i="3"/>
  <c r="H276" i="3"/>
  <c r="E231" i="3"/>
  <c r="H281" i="3"/>
  <c r="H257" i="3"/>
  <c r="K160" i="3"/>
  <c r="K133" i="3"/>
  <c r="E92" i="3"/>
  <c r="E103" i="3"/>
  <c r="K155" i="3"/>
  <c r="E119" i="3"/>
  <c r="I76" i="3"/>
  <c r="J70" i="3"/>
  <c r="F58" i="3"/>
  <c r="I16" i="3"/>
  <c r="K11" i="3"/>
  <c r="I44" i="3"/>
  <c r="K136" i="3"/>
  <c r="I109" i="3"/>
  <c r="K99" i="3"/>
  <c r="H77" i="3"/>
  <c r="G57" i="3"/>
  <c r="K43" i="3"/>
  <c r="F38" i="3"/>
  <c r="H33" i="3"/>
  <c r="K33" i="3"/>
  <c r="H124" i="3"/>
  <c r="J120" i="3"/>
  <c r="H108" i="3"/>
  <c r="F109" i="3"/>
  <c r="F98" i="3"/>
  <c r="K78" i="3"/>
  <c r="G85" i="3"/>
  <c r="E70" i="3"/>
  <c r="I55" i="3"/>
  <c r="H60" i="3"/>
  <c r="F42" i="3"/>
  <c r="K18" i="3"/>
  <c r="H36" i="3"/>
  <c r="F14" i="3"/>
  <c r="J28" i="3"/>
  <c r="K46" i="3"/>
  <c r="I24" i="3"/>
  <c r="K77" i="3"/>
  <c r="I78" i="3"/>
  <c r="K79" i="3"/>
  <c r="J83" i="3"/>
  <c r="K90" i="3"/>
  <c r="I94" i="3"/>
  <c r="F92" i="3"/>
  <c r="I103" i="3"/>
  <c r="H109" i="3"/>
  <c r="F119" i="3"/>
  <c r="H123" i="3"/>
  <c r="K13" i="3"/>
  <c r="F36" i="3"/>
  <c r="E18" i="3"/>
  <c r="G41" i="3"/>
  <c r="J23" i="3"/>
  <c r="E46" i="3"/>
  <c r="H28" i="3"/>
  <c r="I48" i="3"/>
  <c r="F57" i="3"/>
  <c r="J55" i="3"/>
  <c r="F73" i="3"/>
  <c r="H76" i="3"/>
  <c r="F90" i="3"/>
  <c r="J94" i="3"/>
  <c r="E102" i="3"/>
  <c r="J119" i="3"/>
  <c r="F124" i="3"/>
  <c r="K152" i="3"/>
  <c r="F11" i="3"/>
  <c r="H20" i="3"/>
  <c r="F26" i="3"/>
  <c r="K54" i="3"/>
  <c r="E73" i="3"/>
  <c r="H89" i="3"/>
  <c r="E111" i="3"/>
  <c r="H122" i="3"/>
  <c r="K26" i="3"/>
  <c r="E34" i="3"/>
  <c r="J38" i="3"/>
  <c r="H44" i="3"/>
  <c r="E59" i="3"/>
  <c r="K83" i="3"/>
  <c r="E290" i="3"/>
  <c r="H248" i="3"/>
  <c r="H260" i="3"/>
  <c r="F259" i="3"/>
  <c r="H258" i="3"/>
  <c r="I259" i="3"/>
  <c r="G289" i="3"/>
  <c r="H259" i="3"/>
  <c r="E300" i="3"/>
  <c r="F289" i="3"/>
  <c r="K259" i="3"/>
  <c r="K300" i="3"/>
  <c r="G280" i="3"/>
  <c r="G256" i="3"/>
  <c r="I283" i="3"/>
  <c r="G295" i="3"/>
  <c r="I278" i="3"/>
  <c r="E279" i="3"/>
  <c r="F291" i="3"/>
  <c r="I280" i="3"/>
  <c r="I256" i="3"/>
  <c r="J296" i="3"/>
  <c r="G279" i="3"/>
  <c r="J254" i="3"/>
  <c r="I289" i="3"/>
  <c r="G260" i="3"/>
  <c r="J260" i="3"/>
  <c r="F277" i="3"/>
  <c r="K255" i="3"/>
  <c r="K256" i="3"/>
  <c r="G231" i="3"/>
  <c r="H296" i="3"/>
  <c r="E259" i="3"/>
  <c r="J277" i="3"/>
  <c r="G248" i="3"/>
  <c r="E288" i="3"/>
  <c r="J258" i="3"/>
  <c r="I296" i="3"/>
  <c r="F279" i="3"/>
  <c r="F255" i="3"/>
  <c r="K159" i="3"/>
  <c r="I123" i="3"/>
  <c r="E90" i="3"/>
  <c r="F83" i="3"/>
  <c r="F110" i="3"/>
  <c r="G103" i="3"/>
  <c r="I84" i="3"/>
  <c r="E54" i="3"/>
  <c r="K48" i="3"/>
  <c r="G44" i="3"/>
  <c r="I38" i="3"/>
  <c r="H34" i="3"/>
  <c r="I122" i="3"/>
  <c r="G108" i="3"/>
  <c r="J89" i="3"/>
  <c r="J76" i="3"/>
  <c r="H59" i="3"/>
  <c r="J33" i="3"/>
  <c r="E26" i="3"/>
  <c r="G20" i="3"/>
  <c r="J20" i="3"/>
  <c r="F122" i="3"/>
  <c r="H119" i="3"/>
  <c r="J111" i="3"/>
  <c r="H96" i="3"/>
  <c r="J92" i="3"/>
  <c r="I83" i="3"/>
  <c r="I79" i="3"/>
  <c r="G69" i="3"/>
  <c r="E51" i="3"/>
  <c r="K55" i="3"/>
  <c r="I36" i="3"/>
  <c r="G14" i="3"/>
  <c r="K28" i="3"/>
  <c r="H46" i="3"/>
  <c r="F24" i="3"/>
  <c r="G42" i="3"/>
  <c r="E19" i="3"/>
  <c r="K18" i="4"/>
  <c r="F21" i="4"/>
  <c r="G14" i="4"/>
  <c r="F38" i="4"/>
  <c r="G15" i="4"/>
  <c r="G30" i="4"/>
  <c r="H34" i="4"/>
  <c r="E30" i="4"/>
  <c r="K40" i="4"/>
  <c r="H24" i="4"/>
  <c r="J15" i="4"/>
  <c r="I18" i="4"/>
  <c r="I24" i="4"/>
  <c r="I113" i="4" l="1"/>
  <c r="I112" i="4" s="1"/>
  <c r="K127" i="4"/>
  <c r="E29" i="4"/>
  <c r="G29" i="4"/>
  <c r="K113" i="4"/>
  <c r="K111" i="4" s="1"/>
  <c r="G68" i="3"/>
  <c r="H118" i="3"/>
  <c r="H125" i="3"/>
  <c r="F121" i="3"/>
  <c r="H50" i="3"/>
  <c r="H61" i="3"/>
  <c r="H62" i="3" s="1"/>
  <c r="H63" i="3" s="1"/>
  <c r="J75" i="3"/>
  <c r="J88" i="3"/>
  <c r="G107" i="3"/>
  <c r="I121" i="3"/>
  <c r="K47" i="3"/>
  <c r="E292" i="3"/>
  <c r="E50" i="3"/>
  <c r="E61" i="3"/>
  <c r="E62" i="3" s="1"/>
  <c r="E63" i="3" s="1"/>
  <c r="H121" i="3"/>
  <c r="H88" i="3"/>
  <c r="E72" i="3"/>
  <c r="J118" i="3"/>
  <c r="J125" i="3"/>
  <c r="H75" i="3"/>
  <c r="F72" i="3"/>
  <c r="I47" i="3"/>
  <c r="E113" i="3"/>
  <c r="E112" i="3" s="1"/>
  <c r="E282" i="3" s="1"/>
  <c r="E284" i="3" s="1"/>
  <c r="F118" i="3"/>
  <c r="F125" i="3"/>
  <c r="K113" i="3"/>
  <c r="F97" i="3"/>
  <c r="F100" i="3" s="1"/>
  <c r="H107" i="3"/>
  <c r="J126" i="3"/>
  <c r="I75" i="3"/>
  <c r="E125" i="3"/>
  <c r="E118" i="3"/>
  <c r="K154" i="3"/>
  <c r="K292" i="3"/>
  <c r="G249" i="3"/>
  <c r="F292" i="3"/>
  <c r="J249" i="3"/>
  <c r="I72" i="3"/>
  <c r="I126" i="3"/>
  <c r="E75" i="3"/>
  <c r="E68" i="3"/>
  <c r="J107" i="3"/>
  <c r="G97" i="3"/>
  <c r="G100" i="3" s="1"/>
  <c r="F113" i="3"/>
  <c r="F112" i="3" s="1"/>
  <c r="F282" i="3" s="1"/>
  <c r="F284" i="3" s="1"/>
  <c r="F126" i="3"/>
  <c r="J97" i="3"/>
  <c r="J100" i="3" s="1"/>
  <c r="I88" i="3"/>
  <c r="G75" i="3"/>
  <c r="I121" i="4"/>
  <c r="E121" i="4"/>
  <c r="F121" i="4"/>
  <c r="G121" i="4"/>
  <c r="J121" i="4"/>
  <c r="H121" i="4"/>
  <c r="E118" i="4"/>
  <c r="E125" i="4"/>
  <c r="E126" i="4"/>
  <c r="F126" i="4"/>
  <c r="K128" i="4"/>
  <c r="F118" i="4"/>
  <c r="F125" i="4"/>
  <c r="H118" i="4"/>
  <c r="H125" i="4"/>
  <c r="G126" i="4"/>
  <c r="G118" i="4"/>
  <c r="G125" i="4"/>
  <c r="I118" i="4"/>
  <c r="I125" i="4"/>
  <c r="I126" i="4"/>
  <c r="H126" i="4"/>
  <c r="J118" i="4"/>
  <c r="J125" i="4"/>
  <c r="J126" i="4"/>
  <c r="J107" i="4"/>
  <c r="G107" i="4"/>
  <c r="I107" i="4"/>
  <c r="I114" i="4" s="1"/>
  <c r="H107" i="4"/>
  <c r="F107" i="4"/>
  <c r="K107" i="4"/>
  <c r="K114" i="4" s="1"/>
  <c r="E107" i="4"/>
  <c r="J97" i="4"/>
  <c r="F97" i="4"/>
  <c r="K97" i="4"/>
  <c r="H97" i="4"/>
  <c r="E97" i="4"/>
  <c r="I97" i="4"/>
  <c r="G97" i="4"/>
  <c r="F88" i="4"/>
  <c r="H88" i="4"/>
  <c r="K88" i="4"/>
  <c r="G88" i="4"/>
  <c r="J88" i="4"/>
  <c r="E88" i="4"/>
  <c r="I88" i="4"/>
  <c r="F81" i="4"/>
  <c r="E81" i="4"/>
  <c r="I81" i="4"/>
  <c r="G81" i="4"/>
  <c r="K81" i="4"/>
  <c r="J81" i="4"/>
  <c r="H81" i="4"/>
  <c r="K75" i="4"/>
  <c r="F75" i="4"/>
  <c r="G75" i="4"/>
  <c r="J75" i="4"/>
  <c r="E75" i="4"/>
  <c r="H75" i="4"/>
  <c r="I75" i="4"/>
  <c r="H72" i="4"/>
  <c r="I72" i="4"/>
  <c r="K72" i="4"/>
  <c r="K71" i="4" s="1"/>
  <c r="G72" i="4"/>
  <c r="G71" i="4" s="1"/>
  <c r="E72" i="4"/>
  <c r="F72" i="4"/>
  <c r="J72" i="4"/>
  <c r="H68" i="4"/>
  <c r="G68" i="4"/>
  <c r="F68" i="4"/>
  <c r="E68" i="4"/>
  <c r="J68" i="4"/>
  <c r="K68" i="4"/>
  <c r="I68" i="4"/>
  <c r="F61" i="4"/>
  <c r="F62" i="4" s="1"/>
  <c r="F63" i="4" s="1"/>
  <c r="E47" i="4"/>
  <c r="H47" i="4"/>
  <c r="H61" i="4"/>
  <c r="H62" i="4" s="1"/>
  <c r="H63" i="4" s="1"/>
  <c r="G61" i="4"/>
  <c r="G62" i="4" s="1"/>
  <c r="G63" i="4" s="1"/>
  <c r="J61" i="4"/>
  <c r="J62" i="4" s="1"/>
  <c r="J63" i="4" s="1"/>
  <c r="E61" i="4"/>
  <c r="E62" i="4" s="1"/>
  <c r="E63" i="4" s="1"/>
  <c r="I61" i="4"/>
  <c r="I62" i="4" s="1"/>
  <c r="I63" i="4" s="1"/>
  <c r="I47" i="4"/>
  <c r="K47" i="4"/>
  <c r="J47" i="4"/>
  <c r="F47" i="4"/>
  <c r="G47" i="4"/>
  <c r="K61" i="4"/>
  <c r="K62" i="4" s="1"/>
  <c r="K63" i="4" s="1"/>
  <c r="E113" i="4"/>
  <c r="E112" i="4" s="1"/>
  <c r="E114" i="4" s="1"/>
  <c r="J29" i="4"/>
  <c r="K88" i="3"/>
  <c r="F68" i="3"/>
  <c r="J292" i="3"/>
  <c r="I127" i="4"/>
  <c r="I128" i="4" s="1"/>
  <c r="H29" i="4"/>
  <c r="G88" i="3"/>
  <c r="F113" i="4"/>
  <c r="F112" i="4" s="1"/>
  <c r="F114" i="4" s="1"/>
  <c r="K29" i="4"/>
  <c r="I29" i="4"/>
  <c r="J81" i="3"/>
  <c r="F127" i="3"/>
  <c r="F128" i="3" s="1"/>
  <c r="H47" i="3"/>
  <c r="E127" i="3"/>
  <c r="E249" i="3"/>
  <c r="G121" i="3"/>
  <c r="J47" i="3"/>
  <c r="H127" i="3"/>
  <c r="H128" i="3" s="1"/>
  <c r="E126" i="3"/>
  <c r="K107" i="3"/>
  <c r="K114" i="3"/>
  <c r="I50" i="3"/>
  <c r="I61" i="3"/>
  <c r="I62" i="3" s="1"/>
  <c r="I63" i="3" s="1"/>
  <c r="J113" i="4"/>
  <c r="J112" i="4" s="1"/>
  <c r="J114" i="4" s="1"/>
  <c r="H81" i="3"/>
  <c r="J29" i="3"/>
  <c r="F47" i="3"/>
  <c r="H113" i="3"/>
  <c r="H112" i="3" s="1"/>
  <c r="H282" i="3" s="1"/>
  <c r="H284" i="3" s="1"/>
  <c r="G127" i="4"/>
  <c r="E127" i="4"/>
  <c r="E128" i="4" s="1"/>
  <c r="K127" i="3"/>
  <c r="K72" i="3"/>
  <c r="F107" i="3"/>
  <c r="F114" i="3"/>
  <c r="H29" i="3"/>
  <c r="K68" i="3"/>
  <c r="K171" i="3"/>
  <c r="K81" i="3"/>
  <c r="G118" i="3"/>
  <c r="G125" i="3"/>
  <c r="I81" i="3"/>
  <c r="G126" i="3"/>
  <c r="G47" i="3"/>
  <c r="K284" i="3"/>
  <c r="F29" i="3"/>
  <c r="J127" i="4"/>
  <c r="J128" i="4" s="1"/>
  <c r="J127" i="3"/>
  <c r="J128" i="3" s="1"/>
  <c r="E47" i="3"/>
  <c r="E88" i="3"/>
  <c r="E107" i="3"/>
  <c r="E114" i="3" s="1"/>
  <c r="F81" i="3"/>
  <c r="E97" i="3"/>
  <c r="E100" i="3" s="1"/>
  <c r="J121" i="3"/>
  <c r="I249" i="3"/>
  <c r="H249" i="3"/>
  <c r="K128" i="3"/>
  <c r="E29" i="3"/>
  <c r="I113" i="3"/>
  <c r="I112" i="3" s="1"/>
  <c r="I282" i="3" s="1"/>
  <c r="I284" i="3" s="1"/>
  <c r="J72" i="3"/>
  <c r="J71" i="3" s="1"/>
  <c r="F249" i="3"/>
  <c r="H292" i="3"/>
  <c r="G81" i="3"/>
  <c r="H113" i="4"/>
  <c r="H112" i="4" s="1"/>
  <c r="H114" i="4" s="1"/>
  <c r="G50" i="3"/>
  <c r="G61" i="3"/>
  <c r="G62" i="3" s="1"/>
  <c r="G63" i="3" s="1"/>
  <c r="K191" i="3"/>
  <c r="G29" i="3"/>
  <c r="I29" i="3"/>
  <c r="I97" i="3"/>
  <c r="I100" i="3" s="1"/>
  <c r="J68" i="3"/>
  <c r="H126" i="3"/>
  <c r="G113" i="4"/>
  <c r="G112" i="4" s="1"/>
  <c r="G114" i="4" s="1"/>
  <c r="H127" i="4"/>
  <c r="H128" i="4" s="1"/>
  <c r="F29" i="4"/>
  <c r="F127" i="4"/>
  <c r="F128" i="4" s="1"/>
  <c r="K29" i="3"/>
  <c r="I68" i="3"/>
  <c r="F75" i="3"/>
  <c r="K75" i="3"/>
  <c r="E81" i="3"/>
  <c r="F88" i="3"/>
  <c r="H97" i="3"/>
  <c r="H100" i="3" s="1"/>
  <c r="I127" i="3"/>
  <c r="G127" i="3"/>
  <c r="G128" i="3" s="1"/>
  <c r="F61" i="3"/>
  <c r="F62" i="3" s="1"/>
  <c r="F63" i="3" s="1"/>
  <c r="F50" i="3"/>
  <c r="G72" i="3"/>
  <c r="G71" i="3" s="1"/>
  <c r="G67" i="3" s="1"/>
  <c r="E121" i="3"/>
  <c r="G113" i="3"/>
  <c r="G112" i="3" s="1"/>
  <c r="G282" i="3" s="1"/>
  <c r="G284" i="3" s="1"/>
  <c r="K61" i="3"/>
  <c r="K62" i="3" s="1"/>
  <c r="K63" i="3" s="1"/>
  <c r="K50" i="3"/>
  <c r="H68" i="3"/>
  <c r="I107" i="3"/>
  <c r="I114" i="3" s="1"/>
  <c r="I118" i="3"/>
  <c r="I128" i="3" s="1"/>
  <c r="I125" i="3"/>
  <c r="K97" i="3"/>
  <c r="K100" i="3" s="1"/>
  <c r="J61" i="3"/>
  <c r="J62" i="3" s="1"/>
  <c r="J63" i="3" s="1"/>
  <c r="J50" i="3"/>
  <c r="I292" i="3"/>
  <c r="G292" i="3"/>
  <c r="K157" i="3"/>
  <c r="H72" i="3"/>
  <c r="J113" i="3"/>
  <c r="J112" i="3" s="1"/>
  <c r="J282" i="3" s="1"/>
  <c r="J284" i="3" s="1"/>
  <c r="I135" i="4"/>
  <c r="I134" i="4" s="1"/>
  <c r="I132" i="4" s="1"/>
  <c r="H135" i="4"/>
  <c r="H134" i="4" s="1"/>
  <c r="H132" i="4" s="1"/>
  <c r="G135" i="4"/>
  <c r="G134" i="4" s="1"/>
  <c r="G132" i="4" s="1"/>
  <c r="F135" i="4"/>
  <c r="F134" i="4" s="1"/>
  <c r="F132" i="4" s="1"/>
  <c r="E135" i="4"/>
  <c r="E134" i="4" s="1"/>
  <c r="E132" i="4" s="1"/>
  <c r="E151" i="4"/>
  <c r="F151" i="4"/>
  <c r="G151" i="4"/>
  <c r="H151" i="4"/>
  <c r="I151" i="4"/>
  <c r="J151" i="4"/>
  <c r="H49" i="3"/>
  <c r="J49" i="3"/>
  <c r="H80" i="3"/>
  <c r="E49" i="3"/>
  <c r="F80" i="3"/>
  <c r="G31" i="3"/>
  <c r="I156" i="4"/>
  <c r="G155" i="4"/>
  <c r="I152" i="4"/>
  <c r="I155" i="4"/>
  <c r="H156" i="4"/>
  <c r="G156" i="4"/>
  <c r="F152" i="4"/>
  <c r="K49" i="3"/>
  <c r="I49" i="3"/>
  <c r="J31" i="3"/>
  <c r="K80" i="3"/>
  <c r="I80" i="3"/>
  <c r="F31" i="3"/>
  <c r="I31" i="3"/>
  <c r="K31" i="3"/>
  <c r="E80" i="3"/>
  <c r="H152" i="4"/>
  <c r="K152" i="4"/>
  <c r="K155" i="4"/>
  <c r="J155" i="4"/>
  <c r="E156" i="4"/>
  <c r="E152" i="4"/>
  <c r="F156" i="4"/>
  <c r="J80" i="3"/>
  <c r="F49" i="3"/>
  <c r="H31" i="3"/>
  <c r="E31" i="3"/>
  <c r="J152" i="4"/>
  <c r="J156" i="4"/>
  <c r="H155" i="4"/>
  <c r="G49" i="3"/>
  <c r="G80" i="3"/>
  <c r="G152" i="4"/>
  <c r="K156" i="4"/>
  <c r="E155" i="4"/>
  <c r="F155" i="4"/>
  <c r="E128" i="3" l="1"/>
  <c r="G128" i="4"/>
  <c r="G114" i="3"/>
  <c r="J114" i="3"/>
  <c r="H114" i="3"/>
  <c r="J71" i="4"/>
  <c r="G67" i="4"/>
  <c r="I71" i="4"/>
  <c r="I67" i="4" s="1"/>
  <c r="I87" i="4" s="1"/>
  <c r="I91" i="4" s="1"/>
  <c r="I93" i="4" s="1"/>
  <c r="I95" i="4" s="1"/>
  <c r="K71" i="3"/>
  <c r="K67" i="3" s="1"/>
  <c r="J67" i="4"/>
  <c r="H71" i="3"/>
  <c r="H67" i="3" s="1"/>
  <c r="E71" i="3"/>
  <c r="E67" i="3" s="1"/>
  <c r="E14" i="1"/>
  <c r="G14" i="1"/>
  <c r="J87" i="4"/>
  <c r="J91" i="4" s="1"/>
  <c r="J93" i="4" s="1"/>
  <c r="J95" i="4" s="1"/>
  <c r="K67" i="4"/>
  <c r="H71" i="4"/>
  <c r="H67" i="4" s="1"/>
  <c r="H87" i="4" s="1"/>
  <c r="H91" i="4" s="1"/>
  <c r="H93" i="4" s="1"/>
  <c r="H95" i="4" s="1"/>
  <c r="F71" i="4"/>
  <c r="F67" i="4" s="1"/>
  <c r="F87" i="4" s="1"/>
  <c r="F91" i="4" s="1"/>
  <c r="F93" i="4" s="1"/>
  <c r="F95" i="4" s="1"/>
  <c r="K126" i="4"/>
  <c r="K118" i="4"/>
  <c r="K121" i="4"/>
  <c r="G87" i="3"/>
  <c r="E16" i="1"/>
  <c r="J67" i="3"/>
  <c r="E71" i="4"/>
  <c r="E67" i="4" s="1"/>
  <c r="G87" i="4"/>
  <c r="G91" i="4" s="1"/>
  <c r="G93" i="4" s="1"/>
  <c r="G95" i="4" s="1"/>
  <c r="I71" i="3"/>
  <c r="I67" i="3" s="1"/>
  <c r="F71" i="3"/>
  <c r="F67" i="3" s="1"/>
  <c r="K154" i="4"/>
  <c r="J154" i="4"/>
  <c r="I154" i="4"/>
  <c r="H154" i="4"/>
  <c r="G154" i="4"/>
  <c r="F154" i="4"/>
  <c r="E154" i="4"/>
  <c r="G66" i="4"/>
  <c r="H159" i="4"/>
  <c r="I158" i="4"/>
  <c r="I66" i="4"/>
  <c r="G66" i="3"/>
  <c r="J158" i="4"/>
  <c r="H158" i="4"/>
  <c r="K160" i="4"/>
  <c r="I159" i="4"/>
  <c r="G160" i="4"/>
  <c r="K158" i="4"/>
  <c r="J160" i="4"/>
  <c r="K159" i="4"/>
  <c r="F159" i="4"/>
  <c r="G158" i="4"/>
  <c r="E159" i="4"/>
  <c r="F160" i="4"/>
  <c r="G159" i="4"/>
  <c r="J159" i="4"/>
  <c r="E158" i="4"/>
  <c r="E160" i="4"/>
  <c r="F158" i="4"/>
  <c r="G16" i="1" l="1"/>
  <c r="I87" i="3"/>
  <c r="G91" i="3"/>
  <c r="G93" i="3" s="1"/>
  <c r="G95" i="3" s="1"/>
  <c r="I14" i="1"/>
  <c r="K87" i="4"/>
  <c r="K91" i="4" s="1"/>
  <c r="K93" i="4" s="1"/>
  <c r="K95" i="4" s="1"/>
  <c r="F87" i="3"/>
  <c r="D16" i="1"/>
  <c r="C14" i="1"/>
  <c r="C16" i="1"/>
  <c r="E87" i="3"/>
  <c r="D14" i="1"/>
  <c r="F16" i="1"/>
  <c r="H87" i="3"/>
  <c r="H14" i="1"/>
  <c r="H16" i="1"/>
  <c r="J87" i="3"/>
  <c r="E20" i="1"/>
  <c r="E18" i="1"/>
  <c r="F14" i="1"/>
  <c r="E87" i="4"/>
  <c r="E91" i="4" s="1"/>
  <c r="E93" i="4" s="1"/>
  <c r="E95" i="4" s="1"/>
  <c r="I16" i="1"/>
  <c r="K87" i="3"/>
  <c r="K157" i="4"/>
  <c r="J157" i="4"/>
  <c r="I157" i="4"/>
  <c r="H157" i="4"/>
  <c r="G157" i="4"/>
  <c r="F157" i="4"/>
  <c r="E157" i="4"/>
  <c r="E171" i="4"/>
  <c r="F171" i="4"/>
  <c r="G171" i="4"/>
  <c r="H171" i="4"/>
  <c r="I171" i="4"/>
  <c r="J171" i="4"/>
  <c r="K171" i="4"/>
  <c r="K172" i="4"/>
  <c r="E66" i="4"/>
  <c r="I66" i="3"/>
  <c r="F66" i="3"/>
  <c r="E66" i="3"/>
  <c r="F66" i="4"/>
  <c r="H66" i="4"/>
  <c r="J174" i="4"/>
  <c r="E174" i="4"/>
  <c r="H176" i="4"/>
  <c r="F174" i="4"/>
  <c r="J176" i="4"/>
  <c r="J66" i="4"/>
  <c r="G176" i="4"/>
  <c r="G174" i="4"/>
  <c r="G175" i="4"/>
  <c r="I174" i="4"/>
  <c r="K66" i="4"/>
  <c r="E175" i="4"/>
  <c r="H174" i="4"/>
  <c r="K66" i="3"/>
  <c r="I176" i="4"/>
  <c r="I175" i="4"/>
  <c r="E176" i="4"/>
  <c r="G86" i="3"/>
  <c r="H66" i="3"/>
  <c r="J66" i="3"/>
  <c r="J175" i="4"/>
  <c r="H175" i="4"/>
  <c r="F176" i="4"/>
  <c r="F175" i="4"/>
  <c r="I18" i="1" l="1"/>
  <c r="I20" i="1"/>
  <c r="E91" i="3"/>
  <c r="E93" i="3" s="1"/>
  <c r="E95" i="3" s="1"/>
  <c r="F18" i="1"/>
  <c r="F20" i="1"/>
  <c r="C18" i="1"/>
  <c r="C20" i="1"/>
  <c r="D20" i="1"/>
  <c r="D18" i="1"/>
  <c r="I91" i="3"/>
  <c r="I93" i="3" s="1"/>
  <c r="I95" i="3" s="1"/>
  <c r="K91" i="3"/>
  <c r="K93" i="3" s="1"/>
  <c r="K95" i="3" s="1"/>
  <c r="J91" i="3"/>
  <c r="J93" i="3" s="1"/>
  <c r="J95" i="3" s="1"/>
  <c r="H18" i="1"/>
  <c r="H20" i="1"/>
  <c r="H91" i="3"/>
  <c r="H93" i="3" s="1"/>
  <c r="H95" i="3" s="1"/>
  <c r="F91" i="3"/>
  <c r="F93" i="3" s="1"/>
  <c r="F95" i="3" s="1"/>
  <c r="G20" i="1"/>
  <c r="G18" i="1"/>
  <c r="J173" i="4"/>
  <c r="J172" i="4" s="1"/>
  <c r="J170" i="4" s="1"/>
  <c r="I173" i="4"/>
  <c r="I172" i="4" s="1"/>
  <c r="I170" i="4" s="1"/>
  <c r="H173" i="4"/>
  <c r="H172" i="4" s="1"/>
  <c r="H170" i="4" s="1"/>
  <c r="G173" i="4"/>
  <c r="G172" i="4" s="1"/>
  <c r="G170" i="4" s="1"/>
  <c r="F173" i="4"/>
  <c r="F172" i="4" s="1"/>
  <c r="F170" i="4" s="1"/>
  <c r="E173" i="4"/>
  <c r="E172" i="4" s="1"/>
  <c r="E170" i="4" s="1"/>
  <c r="E190" i="4"/>
  <c r="F190" i="4"/>
  <c r="G190" i="4"/>
  <c r="H190" i="4"/>
  <c r="I190" i="4"/>
  <c r="J190" i="4"/>
  <c r="E191" i="4"/>
  <c r="F191" i="4"/>
  <c r="G191" i="4"/>
  <c r="H191" i="4"/>
  <c r="I191" i="4"/>
  <c r="J191" i="4"/>
  <c r="K191" i="4"/>
  <c r="K86" i="3"/>
  <c r="F86" i="3"/>
  <c r="H194" i="4"/>
  <c r="I195" i="4"/>
  <c r="E195" i="4"/>
  <c r="G194" i="4"/>
  <c r="J195" i="4"/>
  <c r="E194" i="4"/>
  <c r="F194" i="4"/>
  <c r="I194" i="4"/>
  <c r="G195" i="4"/>
  <c r="E86" i="3"/>
  <c r="I86" i="3"/>
  <c r="H86" i="3"/>
  <c r="J194" i="4"/>
  <c r="F195" i="4"/>
  <c r="J86" i="3"/>
  <c r="H195" i="4"/>
  <c r="J188" i="4" l="1"/>
  <c r="I188" i="4"/>
  <c r="H188" i="4"/>
  <c r="J193" i="4"/>
  <c r="I193" i="4"/>
  <c r="H193" i="4"/>
  <c r="G193" i="4"/>
  <c r="F193" i="4"/>
  <c r="E193" i="4"/>
  <c r="E198" i="4"/>
  <c r="J198" i="4"/>
  <c r="F197" i="4"/>
  <c r="G197" i="4"/>
  <c r="I197" i="4"/>
  <c r="G198" i="4"/>
  <c r="I198" i="4"/>
  <c r="H197" i="4"/>
  <c r="J197" i="4"/>
  <c r="E197" i="4"/>
  <c r="F198" i="4"/>
  <c r="H198" i="4"/>
  <c r="J196" i="4" l="1"/>
  <c r="I196" i="4"/>
  <c r="H196" i="4"/>
  <c r="G196" i="4"/>
  <c r="F196" i="4"/>
  <c r="E196" i="4"/>
  <c r="H207" i="4"/>
  <c r="I207" i="4"/>
  <c r="J207" i="4"/>
  <c r="H212" i="4"/>
  <c r="I212" i="4"/>
  <c r="J212" i="4"/>
  <c r="H213" i="4"/>
  <c r="I213" i="4"/>
  <c r="J213" i="4"/>
  <c r="E215" i="4"/>
  <c r="F215" i="4"/>
  <c r="G215" i="4"/>
  <c r="H215" i="4"/>
  <c r="I215" i="4"/>
  <c r="J215" i="4"/>
  <c r="E216" i="4"/>
  <c r="F216" i="4"/>
  <c r="G216" i="4"/>
  <c r="H216" i="4"/>
  <c r="I216" i="4"/>
  <c r="J216" i="4"/>
  <c r="E217" i="4"/>
  <c r="F217" i="4"/>
  <c r="G217" i="4"/>
  <c r="H217" i="4"/>
  <c r="I217" i="4"/>
  <c r="J217" i="4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E234" i="4"/>
  <c r="F234" i="4"/>
  <c r="G234" i="4"/>
  <c r="H234" i="4"/>
  <c r="I234" i="4"/>
  <c r="J234" i="4"/>
  <c r="E235" i="4"/>
  <c r="F235" i="4"/>
  <c r="G235" i="4"/>
  <c r="H235" i="4"/>
  <c r="I235" i="4"/>
  <c r="J235" i="4"/>
  <c r="E237" i="4"/>
  <c r="F237" i="4"/>
  <c r="G237" i="4"/>
  <c r="H237" i="4"/>
  <c r="I237" i="4"/>
  <c r="J237" i="4"/>
  <c r="E238" i="4"/>
  <c r="F238" i="4"/>
  <c r="G238" i="4"/>
  <c r="H238" i="4"/>
  <c r="I238" i="4"/>
  <c r="J238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E282" i="4"/>
  <c r="F282" i="4"/>
  <c r="G282" i="4"/>
  <c r="H282" i="4"/>
  <c r="I282" i="4"/>
  <c r="J282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G265" i="4"/>
  <c r="F288" i="4"/>
  <c r="E260" i="4"/>
  <c r="E254" i="4"/>
  <c r="H271" i="4"/>
  <c r="H289" i="4"/>
  <c r="I277" i="4"/>
  <c r="H256" i="4"/>
  <c r="E278" i="4"/>
  <c r="F295" i="4"/>
  <c r="J289" i="4"/>
  <c r="E277" i="4"/>
  <c r="F291" i="4"/>
  <c r="J279" i="4"/>
  <c r="G257" i="4"/>
  <c r="K278" i="4"/>
  <c r="E300" i="4"/>
  <c r="G295" i="4"/>
  <c r="F259" i="4"/>
  <c r="J280" i="4"/>
  <c r="G231" i="4"/>
  <c r="J231" i="4"/>
  <c r="I265" i="4"/>
  <c r="H288" i="4"/>
  <c r="H270" i="4"/>
  <c r="J260" i="4"/>
  <c r="F289" i="4"/>
  <c r="F300" i="4"/>
  <c r="F283" i="4"/>
  <c r="I255" i="4"/>
  <c r="F277" i="4"/>
  <c r="I291" i="4"/>
  <c r="K283" i="4"/>
  <c r="H257" i="4"/>
  <c r="E279" i="4"/>
  <c r="H296" i="4"/>
  <c r="J296" i="4"/>
  <c r="K259" i="4"/>
  <c r="H281" i="4"/>
  <c r="F257" i="4"/>
  <c r="H248" i="4"/>
  <c r="I248" i="4"/>
  <c r="E256" i="4"/>
  <c r="I289" i="4"/>
  <c r="F212" i="4"/>
  <c r="H254" i="4"/>
  <c r="E276" i="4"/>
  <c r="H290" i="4"/>
  <c r="J278" i="4"/>
  <c r="G256" i="4"/>
  <c r="K277" i="4"/>
  <c r="J291" i="4"/>
  <c r="G290" i="4"/>
  <c r="J258" i="4"/>
  <c r="G280" i="4"/>
  <c r="K300" i="4"/>
  <c r="H258" i="4"/>
  <c r="E212" i="4"/>
  <c r="J271" i="4"/>
  <c r="K291" i="4"/>
  <c r="I259" i="4"/>
  <c r="F281" i="4"/>
  <c r="K254" i="4"/>
  <c r="I231" i="4"/>
  <c r="H265" i="4"/>
  <c r="I283" i="4"/>
  <c r="H259" i="4"/>
  <c r="J254" i="4"/>
  <c r="G276" i="4"/>
  <c r="J290" i="4"/>
  <c r="I281" i="4"/>
  <c r="E280" i="4"/>
  <c r="J255" i="4"/>
  <c r="I288" i="4"/>
  <c r="G300" i="4"/>
  <c r="K257" i="4"/>
  <c r="H279" i="4"/>
  <c r="I300" i="4"/>
  <c r="H300" i="4"/>
  <c r="J259" i="4"/>
  <c r="G281" i="4"/>
  <c r="G254" i="4"/>
  <c r="F248" i="4"/>
  <c r="G270" i="4"/>
  <c r="E289" i="4"/>
  <c r="H276" i="4"/>
  <c r="G271" i="4"/>
  <c r="G260" i="4"/>
  <c r="F278" i="4"/>
  <c r="J256" i="4"/>
  <c r="G278" i="4"/>
  <c r="G296" i="4"/>
  <c r="K290" i="4"/>
  <c r="I258" i="4"/>
  <c r="F280" i="4"/>
  <c r="J300" i="4"/>
  <c r="F231" i="4"/>
  <c r="E265" i="4"/>
  <c r="J283" i="4"/>
  <c r="I260" i="4"/>
  <c r="J277" i="4"/>
  <c r="E258" i="4"/>
  <c r="K255" i="4"/>
  <c r="K258" i="4"/>
  <c r="E270" i="4"/>
  <c r="J288" i="4"/>
  <c r="J265" i="4"/>
  <c r="I254" i="4"/>
  <c r="F276" i="4"/>
  <c r="E290" i="4"/>
  <c r="G279" i="4"/>
  <c r="E257" i="4"/>
  <c r="I278" i="4"/>
  <c r="J295" i="4"/>
  <c r="F296" i="4"/>
  <c r="H295" i="4"/>
  <c r="J270" i="4"/>
  <c r="J248" i="4"/>
  <c r="E288" i="4"/>
  <c r="F260" i="4"/>
  <c r="J281" i="4"/>
  <c r="I256" i="4"/>
  <c r="E248" i="4"/>
  <c r="F270" i="4"/>
  <c r="G288" i="4"/>
  <c r="F265" i="4"/>
  <c r="G255" i="4"/>
  <c r="K276" i="4"/>
  <c r="G291" i="4"/>
  <c r="G283" i="4"/>
  <c r="H283" i="4"/>
  <c r="G277" i="4"/>
  <c r="F258" i="4"/>
  <c r="E259" i="4"/>
  <c r="I280" i="4"/>
  <c r="G248" i="4"/>
  <c r="E231" i="4"/>
  <c r="K260" i="4"/>
  <c r="E283" i="4"/>
  <c r="J257" i="4"/>
  <c r="F254" i="4"/>
  <c r="I271" i="4"/>
  <c r="F290" i="4"/>
  <c r="K279" i="4"/>
  <c r="K289" i="4"/>
  <c r="I279" i="4"/>
  <c r="H260" i="4"/>
  <c r="E255" i="4"/>
  <c r="I276" i="4"/>
  <c r="E291" i="4"/>
  <c r="H280" i="4"/>
  <c r="K256" i="4"/>
  <c r="H278" i="4"/>
  <c r="I295" i="4"/>
  <c r="H291" i="4"/>
  <c r="G259" i="4"/>
  <c r="K280" i="4"/>
  <c r="H255" i="4"/>
  <c r="F256" i="4"/>
  <c r="G258" i="4"/>
  <c r="K281" i="4"/>
  <c r="E271" i="4"/>
  <c r="H231" i="4"/>
  <c r="I270" i="4"/>
  <c r="G289" i="4"/>
  <c r="F271" i="4"/>
  <c r="F255" i="4"/>
  <c r="J276" i="4"/>
  <c r="I290" i="4"/>
  <c r="E281" i="4"/>
  <c r="I257" i="4"/>
  <c r="F279" i="4"/>
  <c r="I296" i="4"/>
  <c r="C6" i="5"/>
  <c r="G212" i="4"/>
  <c r="K288" i="4"/>
  <c r="H277" i="4"/>
  <c r="G125" i="5" l="1"/>
  <c r="J125" i="5"/>
  <c r="F125" i="5"/>
  <c r="I125" i="5"/>
  <c r="E292" i="4"/>
  <c r="F284" i="4"/>
  <c r="H292" i="4"/>
  <c r="I284" i="4"/>
  <c r="E284" i="4"/>
  <c r="J249" i="4"/>
  <c r="F249" i="4"/>
  <c r="I292" i="4"/>
  <c r="K292" i="4"/>
  <c r="G292" i="4"/>
  <c r="H284" i="4"/>
  <c r="I249" i="4"/>
  <c r="E249" i="4"/>
  <c r="J284" i="4"/>
  <c r="G249" i="4"/>
  <c r="J292" i="4"/>
  <c r="F292" i="4"/>
  <c r="K284" i="4"/>
  <c r="G284" i="4"/>
  <c r="H249" i="4"/>
  <c r="H125" i="5"/>
  <c r="E125" i="5"/>
  <c r="J264" i="4"/>
  <c r="I264" i="4"/>
  <c r="H264" i="4"/>
  <c r="G264" i="4"/>
  <c r="F264" i="4"/>
  <c r="AS245" i="2" l="1"/>
  <c r="AQ245" i="2"/>
  <c r="AO245" i="2"/>
  <c r="AM245" i="2"/>
  <c r="AK245" i="2"/>
  <c r="AS241" i="2"/>
  <c r="AQ241" i="2"/>
  <c r="AO241" i="2"/>
  <c r="AM241" i="2"/>
  <c r="AK241" i="2"/>
  <c r="AI241" i="2"/>
  <c r="AG241" i="2"/>
  <c r="AC241" i="2"/>
  <c r="AS240" i="2"/>
  <c r="AQ240" i="2"/>
  <c r="AO240" i="2"/>
  <c r="AM240" i="2"/>
  <c r="AK240" i="2"/>
  <c r="AI240" i="2"/>
  <c r="AG240" i="2"/>
  <c r="AC240" i="2"/>
  <c r="AS224" i="2"/>
  <c r="AQ224" i="2"/>
  <c r="AO224" i="2"/>
  <c r="AM224" i="2"/>
  <c r="AK224" i="2"/>
  <c r="AI224" i="2"/>
  <c r="AG224" i="2"/>
  <c r="AC224" i="2"/>
  <c r="AS223" i="2"/>
  <c r="AQ223" i="2"/>
  <c r="AO223" i="2"/>
  <c r="AM223" i="2"/>
  <c r="AK223" i="2"/>
  <c r="AI223" i="2"/>
  <c r="AG223" i="2"/>
  <c r="AC223" i="2"/>
  <c r="AS218" i="2"/>
  <c r="AQ218" i="2"/>
  <c r="AO218" i="2"/>
  <c r="AM218" i="2"/>
  <c r="AK218" i="2"/>
  <c r="AI218" i="2"/>
  <c r="AR188" i="2"/>
  <c r="AP188" i="2"/>
  <c r="AN188" i="2"/>
  <c r="AL188" i="2"/>
  <c r="AJ188" i="2"/>
  <c r="AU43" i="2"/>
  <c r="AV43" i="2" s="1"/>
  <c r="AU39" i="2"/>
  <c r="AV39" i="2" s="1"/>
  <c r="AU32" i="2"/>
  <c r="AU31" i="2"/>
  <c r="AU25" i="2"/>
  <c r="AV25" i="2" s="1"/>
  <c r="AU22" i="2"/>
  <c r="AV22" i="2" s="1"/>
  <c r="I271" i="2" l="1"/>
  <c r="C6" i="2"/>
  <c r="E38" i="2"/>
  <c r="U111" i="2"/>
  <c r="K59" i="2"/>
  <c r="AR41" i="2"/>
  <c r="AL26" i="2"/>
  <c r="AA16" i="2"/>
  <c r="AB54" i="2"/>
  <c r="AM14" i="2"/>
  <c r="J254" i="2"/>
  <c r="N260" i="2"/>
  <c r="AG255" i="2"/>
  <c r="AI278" i="2"/>
  <c r="AJ255" i="2"/>
  <c r="AH276" i="2"/>
  <c r="Q257" i="2"/>
  <c r="AC279" i="2"/>
  <c r="P278" i="2"/>
  <c r="AQ300" i="2"/>
  <c r="AC280" i="2"/>
  <c r="AQ278" i="2"/>
  <c r="AN255" i="2"/>
  <c r="AP276" i="2"/>
  <c r="U257" i="2"/>
  <c r="AR288" i="2"/>
  <c r="X257" i="2"/>
  <c r="J280" i="2"/>
  <c r="E259" i="2"/>
  <c r="P290" i="2"/>
  <c r="AT279" i="2"/>
  <c r="M276" i="2"/>
  <c r="F289" i="2"/>
  <c r="P276" i="2"/>
  <c r="Y46" i="2"/>
  <c r="AQ11" i="2"/>
  <c r="U69" i="2"/>
  <c r="N45" i="2"/>
  <c r="X28" i="2"/>
  <c r="N18" i="2"/>
  <c r="AN60" i="2"/>
  <c r="AM18" i="2"/>
  <c r="P231" i="2"/>
  <c r="H259" i="2"/>
  <c r="E291" i="2"/>
  <c r="AJ12" i="2"/>
  <c r="AD254" i="2"/>
  <c r="AH260" i="2"/>
  <c r="K256" i="2"/>
  <c r="Q277" i="2"/>
  <c r="J277" i="2"/>
  <c r="AQ290" i="2"/>
  <c r="W279" i="2"/>
  <c r="T12" i="2"/>
  <c r="AH254" i="2"/>
  <c r="AL260" i="2"/>
  <c r="O256" i="2"/>
  <c r="AO279" i="2"/>
  <c r="R256" i="2"/>
  <c r="AN277" i="2"/>
  <c r="AO257" i="2"/>
  <c r="AL280" i="2"/>
  <c r="AN278" i="2"/>
  <c r="AC270" i="2"/>
  <c r="AF281" i="2"/>
  <c r="AT10" i="2"/>
  <c r="Y33" i="2"/>
  <c r="AA99" i="2"/>
  <c r="AE57" i="2"/>
  <c r="P40" i="2"/>
  <c r="AO24" i="2"/>
  <c r="AB15" i="2"/>
  <c r="I46" i="2"/>
  <c r="AL11" i="2"/>
  <c r="AP254" i="2"/>
  <c r="Y265" i="2"/>
  <c r="W256" i="2"/>
  <c r="O280" i="2"/>
  <c r="Z256" i="2"/>
  <c r="O108" i="2"/>
  <c r="AP26" i="2"/>
  <c r="S85" i="2"/>
  <c r="I56" i="2"/>
  <c r="AP37" i="2"/>
  <c r="AK23" i="2"/>
  <c r="AD14" i="2"/>
  <c r="AE40" i="2"/>
  <c r="AA278" i="2"/>
  <c r="AF255" i="2"/>
  <c r="Z276" i="2"/>
  <c r="M257" i="2"/>
  <c r="L288" i="2"/>
  <c r="P257" i="2"/>
  <c r="AJ279" i="2"/>
  <c r="AM258" i="2"/>
  <c r="Z289" i="2"/>
  <c r="AL279" i="2"/>
  <c r="E276" i="2"/>
  <c r="AF288" i="2"/>
  <c r="AB288" i="2"/>
  <c r="T257" i="2"/>
  <c r="AR279" i="2"/>
  <c r="AQ258" i="2"/>
  <c r="L231" i="2"/>
  <c r="AT258" i="2"/>
  <c r="AE290" i="2"/>
  <c r="AA260" i="2"/>
  <c r="S271" i="2"/>
  <c r="AA283" i="2"/>
  <c r="AI277" i="2"/>
  <c r="AG295" i="2"/>
  <c r="V12" i="2"/>
  <c r="AG35" i="2"/>
  <c r="S108" i="2"/>
  <c r="U58" i="2"/>
  <c r="L41" i="2"/>
  <c r="P26" i="2"/>
  <c r="F16" i="2"/>
  <c r="H51" i="2"/>
  <c r="S13" i="2"/>
  <c r="Z254" i="2"/>
  <c r="AD260" i="2"/>
  <c r="G256" i="2"/>
  <c r="Y279" i="2"/>
  <c r="J256" i="2"/>
  <c r="X277" i="2"/>
  <c r="AG257" i="2"/>
  <c r="S280" i="2"/>
  <c r="AF278" i="2"/>
  <c r="AK265" i="2"/>
  <c r="P281" i="2"/>
  <c r="AG279" i="2"/>
  <c r="N256" i="2"/>
  <c r="AF277" i="2"/>
  <c r="AK257" i="2"/>
  <c r="X290" i="2"/>
  <c r="AN257" i="2"/>
  <c r="K281" i="2"/>
  <c r="U259" i="2"/>
  <c r="AL291" i="2"/>
  <c r="T280" i="2"/>
  <c r="AC276" i="2"/>
  <c r="AL289" i="2"/>
  <c r="AT76" i="2"/>
  <c r="N23" i="2"/>
  <c r="AG77" i="2"/>
  <c r="AC54" i="2"/>
  <c r="V36" i="2"/>
  <c r="AJ21" i="2"/>
  <c r="AA12" i="2"/>
  <c r="Q35" i="2"/>
  <c r="G280" i="2"/>
  <c r="V256" i="2"/>
  <c r="F278" i="2"/>
  <c r="AS257" i="2"/>
  <c r="N291" i="2"/>
  <c r="F258" i="2"/>
  <c r="AQ281" i="2"/>
  <c r="AC259" i="2"/>
  <c r="X300" i="2"/>
  <c r="AB280" i="2"/>
  <c r="AK276" i="2"/>
  <c r="L290" i="2"/>
  <c r="AD291" i="2"/>
  <c r="J258" i="2"/>
  <c r="G283" i="2"/>
  <c r="AG259" i="2"/>
  <c r="S248" i="2"/>
  <c r="AJ259" i="2"/>
  <c r="M255" i="2"/>
  <c r="R271" i="2"/>
  <c r="L276" i="2"/>
  <c r="E289" i="2"/>
  <c r="Y278" i="2"/>
  <c r="AO259" i="2"/>
  <c r="G281" i="2"/>
  <c r="AJ290" i="2"/>
  <c r="G291" i="2"/>
  <c r="X289" i="2"/>
  <c r="R108" i="2"/>
  <c r="AG123" i="2"/>
  <c r="L122" i="2"/>
  <c r="AM260" i="2"/>
  <c r="G288" i="2"/>
  <c r="T300" i="2"/>
  <c r="AA291" i="2"/>
  <c r="AR289" i="2"/>
  <c r="AL108" i="2"/>
  <c r="AN124" i="2"/>
  <c r="AM122" i="2"/>
  <c r="M175" i="2"/>
  <c r="AN158" i="2"/>
  <c r="AP137" i="2"/>
  <c r="O248" i="2"/>
  <c r="AG256" i="2"/>
  <c r="L278" i="2"/>
  <c r="Y280" i="2"/>
  <c r="AI289" i="2"/>
  <c r="J288" i="2"/>
  <c r="F103" i="2"/>
  <c r="X120" i="2"/>
  <c r="AM119" i="2"/>
  <c r="F155" i="2"/>
  <c r="J279" i="2"/>
  <c r="T283" i="2"/>
  <c r="M290" i="2"/>
  <c r="T69" i="2"/>
  <c r="AT34" i="2"/>
  <c r="AF283" i="2"/>
  <c r="AF212" i="2"/>
  <c r="K271" i="2"/>
  <c r="H231" i="2"/>
  <c r="V254" i="2"/>
  <c r="AR276" i="2"/>
  <c r="Q89" i="2"/>
  <c r="J37" i="2"/>
  <c r="Q279" i="2"/>
  <c r="AH289" i="2"/>
  <c r="F291" i="2"/>
  <c r="H290" i="2"/>
  <c r="AB231" i="2"/>
  <c r="AI271" i="2"/>
  <c r="AN56" i="2"/>
  <c r="Z33" i="2"/>
  <c r="AN290" i="2"/>
  <c r="AM231" i="2"/>
  <c r="G258" i="2"/>
  <c r="F279" i="2"/>
  <c r="L283" i="2"/>
  <c r="AD256" i="2"/>
  <c r="K258" i="2"/>
  <c r="N258" i="2"/>
  <c r="AK259" i="2"/>
  <c r="AO280" i="2"/>
  <c r="AB290" i="2"/>
  <c r="I280" i="2"/>
  <c r="AT283" i="2"/>
  <c r="N120" i="2"/>
  <c r="AI152" i="2"/>
  <c r="X281" i="2"/>
  <c r="V288" i="2"/>
  <c r="AN120" i="2"/>
  <c r="AL155" i="2"/>
  <c r="AK133" i="2"/>
  <c r="X197" i="2"/>
  <c r="W277" i="2"/>
  <c r="AH281" i="2"/>
  <c r="AB111" i="2"/>
  <c r="R137" i="2"/>
  <c r="U278" i="2"/>
  <c r="J283" i="2"/>
  <c r="AT300" i="2"/>
  <c r="H119" i="2"/>
  <c r="AT255" i="2"/>
  <c r="L138" i="2"/>
  <c r="AC136" i="2"/>
  <c r="AC291" i="2"/>
  <c r="AP159" i="2"/>
  <c r="AP175" i="2"/>
  <c r="O231" i="2"/>
  <c r="AK152" i="2"/>
  <c r="AN155" i="2"/>
  <c r="Q176" i="2"/>
  <c r="H279" i="2"/>
  <c r="AF137" i="2"/>
  <c r="AG159" i="2"/>
  <c r="AQ197" i="2"/>
  <c r="AM255" i="2"/>
  <c r="Q197" i="2"/>
  <c r="AG270" i="2"/>
  <c r="E195" i="2"/>
  <c r="AA159" i="2"/>
  <c r="F160" i="2"/>
  <c r="AA198" i="2"/>
  <c r="AK124" i="2"/>
  <c r="AG155" i="2"/>
  <c r="AR175" i="2"/>
  <c r="L260" i="2"/>
  <c r="P176" i="2"/>
  <c r="AO248" i="2"/>
  <c r="W259" i="2"/>
  <c r="AE18" i="2"/>
  <c r="U265" i="2"/>
  <c r="AS281" i="2"/>
  <c r="AK300" i="2"/>
  <c r="T291" i="2"/>
  <c r="N110" i="2"/>
  <c r="AS152" i="2"/>
  <c r="AR124" i="2"/>
  <c r="T288" i="2"/>
  <c r="AF271" i="2"/>
  <c r="U283" i="2"/>
  <c r="AN280" i="2"/>
  <c r="AN291" i="2"/>
  <c r="AH110" i="2"/>
  <c r="H158" i="2"/>
  <c r="AI133" i="2"/>
  <c r="P258" i="2"/>
  <c r="W197" i="2"/>
  <c r="AH155" i="2"/>
  <c r="I160" i="2"/>
  <c r="AC265" i="2"/>
  <c r="W288" i="2"/>
  <c r="AJ300" i="2"/>
  <c r="AE291" i="2"/>
  <c r="F290" i="2"/>
  <c r="AP108" i="2"/>
  <c r="Q133" i="2"/>
  <c r="AR122" i="2"/>
  <c r="AI276" i="2"/>
  <c r="S290" i="2"/>
  <c r="I281" i="2"/>
  <c r="AG296" i="2"/>
  <c r="Z290" i="2"/>
  <c r="T109" i="2"/>
  <c r="AI136" i="2"/>
  <c r="AC123" i="2"/>
  <c r="AE194" i="2"/>
  <c r="AS160" i="2"/>
  <c r="AF138" i="2"/>
  <c r="M271" i="2"/>
  <c r="K288" i="2"/>
  <c r="AO198" i="2"/>
  <c r="AG160" i="2"/>
  <c r="R160" i="2"/>
  <c r="AQ198" i="2"/>
  <c r="F133" i="2"/>
  <c r="AS155" i="2"/>
  <c r="R176" i="2"/>
  <c r="AJ277" i="2"/>
  <c r="AB176" i="2"/>
  <c r="S254" i="2"/>
  <c r="AQ124" i="2"/>
  <c r="AF156" i="2"/>
  <c r="V156" i="2"/>
  <c r="AQ176" i="2"/>
  <c r="I122" i="2"/>
  <c r="J138" i="2"/>
  <c r="K160" i="2"/>
  <c r="AC198" i="2"/>
  <c r="AK256" i="2"/>
  <c r="AK197" i="2"/>
  <c r="AP278" i="2"/>
  <c r="S11" i="2"/>
  <c r="Z24" i="2"/>
  <c r="W271" i="2"/>
  <c r="AC278" i="2"/>
  <c r="AK288" i="2"/>
  <c r="N283" i="2"/>
  <c r="H102" i="2"/>
  <c r="M119" i="2"/>
  <c r="AL259" i="2"/>
  <c r="S138" i="2"/>
  <c r="N277" i="2"/>
  <c r="AA279" i="2"/>
  <c r="O289" i="2"/>
  <c r="AH283" i="2"/>
  <c r="AB102" i="2"/>
  <c r="AN119" i="2"/>
  <c r="S119" i="2"/>
  <c r="M152" i="2"/>
  <c r="AD137" i="2"/>
  <c r="AJ124" i="2"/>
  <c r="Z174" i="2"/>
  <c r="O194" i="2"/>
  <c r="J289" i="2"/>
  <c r="AN271" i="2"/>
  <c r="Y283" i="2"/>
  <c r="AR280" i="2"/>
  <c r="AR291" i="2"/>
  <c r="AL110" i="2"/>
  <c r="AJ158" i="2"/>
  <c r="AO133" i="2"/>
  <c r="AN300" i="2"/>
  <c r="AO276" i="2"/>
  <c r="AS283" i="2"/>
  <c r="V281" i="2"/>
  <c r="N300" i="2"/>
  <c r="P111" i="2"/>
  <c r="E175" i="2"/>
  <c r="AM136" i="2"/>
  <c r="L133" i="2"/>
  <c r="F231" i="2"/>
  <c r="AN156" i="2"/>
  <c r="S174" i="2"/>
  <c r="AM174" i="2"/>
  <c r="AK137" i="2"/>
  <c r="AQ255" i="2"/>
  <c r="W175" i="2"/>
  <c r="O257" i="2"/>
  <c r="AP136" i="2"/>
  <c r="AQ158" i="2"/>
  <c r="AO195" i="2"/>
  <c r="AB254" i="2"/>
  <c r="AA195" i="2"/>
  <c r="H258" i="2"/>
  <c r="N159" i="2"/>
  <c r="U254" i="2"/>
  <c r="P159" i="2"/>
  <c r="Z197" i="2"/>
  <c r="E124" i="2"/>
  <c r="AT152" i="2"/>
  <c r="L175" i="2"/>
  <c r="AL255" i="2"/>
  <c r="N280" i="2"/>
  <c r="N231" i="2"/>
  <c r="AG258" i="2"/>
  <c r="AB16" i="2"/>
  <c r="Q276" i="2"/>
  <c r="AG283" i="2"/>
  <c r="J281" i="2"/>
  <c r="AK296" i="2"/>
  <c r="AT110" i="2"/>
  <c r="H160" i="2"/>
  <c r="Q136" i="2"/>
  <c r="I270" i="2"/>
  <c r="O277" i="2"/>
  <c r="I288" i="2"/>
  <c r="AD281" i="2"/>
  <c r="V300" i="2"/>
  <c r="X111" i="2"/>
  <c r="Z176" i="2"/>
  <c r="K137" i="2"/>
  <c r="Y133" i="2"/>
  <c r="K254" i="2"/>
  <c r="T158" i="2"/>
  <c r="AI174" i="2"/>
  <c r="AO277" i="2"/>
  <c r="Y291" i="2"/>
  <c r="U281" i="2"/>
  <c r="M300" i="2"/>
  <c r="AL290" i="2"/>
  <c r="AF109" i="2"/>
  <c r="AI137" i="2"/>
  <c r="AS123" i="2"/>
  <c r="AK279" i="2"/>
  <c r="AP260" i="2"/>
  <c r="AO281" i="2"/>
  <c r="AG300" i="2"/>
  <c r="P291" i="2"/>
  <c r="J110" i="2"/>
  <c r="AE152" i="2"/>
  <c r="AL124" i="2"/>
  <c r="J212" i="2"/>
  <c r="AD176" i="2"/>
  <c r="AF152" i="2"/>
  <c r="AS158" i="2"/>
  <c r="AJ155" i="2"/>
  <c r="AE124" i="2"/>
  <c r="E194" i="2"/>
  <c r="P174" i="2"/>
  <c r="AE231" i="2"/>
  <c r="AL133" i="2"/>
  <c r="AI156" i="2"/>
  <c r="R194" i="2"/>
  <c r="W231" i="2"/>
  <c r="T194" i="2"/>
  <c r="Z255" i="2"/>
  <c r="AL137" i="2"/>
  <c r="AL174" i="2"/>
  <c r="J158" i="2"/>
  <c r="AQ194" i="2"/>
  <c r="V19" i="2"/>
  <c r="AF20" i="2"/>
  <c r="L257" i="2"/>
  <c r="AL258" i="2"/>
  <c r="K283" i="2"/>
  <c r="AP258" i="2"/>
  <c r="Z260" i="2"/>
  <c r="AA290" i="2"/>
  <c r="AC24" i="2"/>
  <c r="P23" i="2"/>
  <c r="F256" i="2"/>
  <c r="AF257" i="2"/>
  <c r="L280" i="2"/>
  <c r="AJ257" i="2"/>
  <c r="T259" i="2"/>
  <c r="O288" i="2"/>
  <c r="O16" i="2"/>
  <c r="AH19" i="2"/>
  <c r="AR257" i="2"/>
  <c r="AB259" i="2"/>
  <c r="U270" i="2"/>
  <c r="AE288" i="2"/>
  <c r="AR300" i="2"/>
  <c r="AF259" i="2"/>
  <c r="AH10" i="2"/>
  <c r="Y271" i="2"/>
  <c r="W278" i="2"/>
  <c r="AC295" i="2"/>
  <c r="AE278" i="2"/>
  <c r="AC281" i="2"/>
  <c r="AT290" i="2"/>
  <c r="W138" i="2"/>
  <c r="AA280" i="2"/>
  <c r="E283" i="2"/>
  <c r="X291" i="2"/>
  <c r="V155" i="2"/>
  <c r="AK248" i="2"/>
  <c r="AQ152" i="2"/>
  <c r="O260" i="2"/>
  <c r="Z291" i="2"/>
  <c r="AF289" i="2"/>
  <c r="F124" i="2"/>
  <c r="J271" i="2"/>
  <c r="AI280" i="2"/>
  <c r="AD288" i="2"/>
  <c r="Z103" i="2"/>
  <c r="K122" i="2"/>
  <c r="Q120" i="2"/>
  <c r="Q156" i="2"/>
  <c r="S152" i="2"/>
  <c r="I136" i="2"/>
  <c r="Y194" i="2"/>
  <c r="E198" i="2"/>
  <c r="AM138" i="2"/>
  <c r="Y176" i="2"/>
  <c r="V158" i="2"/>
  <c r="R195" i="2"/>
  <c r="K123" i="2"/>
  <c r="J152" i="2"/>
  <c r="Q174" i="2"/>
  <c r="AG231" i="2"/>
  <c r="P260" i="2"/>
  <c r="AN198" i="2"/>
  <c r="AM257" i="2"/>
  <c r="AQ133" i="2"/>
  <c r="AI197" i="2"/>
  <c r="AJ174" i="2"/>
  <c r="AJ254" i="2"/>
  <c r="N136" i="2"/>
  <c r="O158" i="2"/>
  <c r="AS194" i="2"/>
  <c r="Q248" i="2"/>
  <c r="AN194" i="2"/>
  <c r="X256" i="2"/>
  <c r="M265" i="2"/>
  <c r="Q265" i="2"/>
  <c r="AM277" i="2"/>
  <c r="U288" i="2"/>
  <c r="AP281" i="2"/>
  <c r="AH300" i="2"/>
  <c r="AJ111" i="2"/>
  <c r="L197" i="2"/>
  <c r="AG137" i="2"/>
  <c r="X276" i="2"/>
  <c r="AK278" i="2"/>
  <c r="AO288" i="2"/>
  <c r="R283" i="2"/>
  <c r="L102" i="2"/>
  <c r="R119" i="2"/>
  <c r="M291" i="2"/>
  <c r="Y138" i="2"/>
  <c r="AR136" i="2"/>
  <c r="O124" i="2"/>
  <c r="U160" i="2"/>
  <c r="U176" i="2"/>
  <c r="L281" i="2"/>
  <c r="AS270" i="2"/>
  <c r="I283" i="2"/>
  <c r="AS300" i="2"/>
  <c r="AB291" i="2"/>
  <c r="V110" i="2"/>
  <c r="AQ155" i="2"/>
  <c r="M133" i="2"/>
  <c r="AP289" i="2"/>
  <c r="I276" i="2"/>
  <c r="AC283" i="2"/>
  <c r="F281" i="2"/>
  <c r="AO295" i="2"/>
  <c r="AP110" i="2"/>
  <c r="W159" i="2"/>
  <c r="K136" i="2"/>
  <c r="V124" i="2"/>
  <c r="S198" i="2"/>
  <c r="H156" i="2"/>
  <c r="Y160" i="2"/>
  <c r="AR158" i="2"/>
  <c r="AJ136" i="2"/>
  <c r="Q212" i="2"/>
  <c r="G175" i="2"/>
  <c r="AI255" i="2"/>
  <c r="Z136" i="2"/>
  <c r="AA158" i="2"/>
  <c r="T195" i="2"/>
  <c r="G254" i="2"/>
  <c r="K195" i="2"/>
  <c r="F257" i="2"/>
  <c r="AT155" i="2"/>
  <c r="AH197" i="2"/>
  <c r="AP158" i="2"/>
  <c r="AS195" i="2"/>
  <c r="AE123" i="2"/>
  <c r="AD152" i="2"/>
  <c r="AK174" i="2"/>
  <c r="AA254" i="2"/>
  <c r="L277" i="2"/>
  <c r="T212" i="2"/>
  <c r="Q258" i="2"/>
  <c r="AD15" i="2"/>
  <c r="AA27" i="2"/>
  <c r="R279" i="2"/>
  <c r="AJ283" i="2"/>
  <c r="Q290" i="2"/>
  <c r="AH288" i="2"/>
  <c r="AD103" i="2"/>
  <c r="S122" i="2"/>
  <c r="U120" i="2"/>
  <c r="AB156" i="2"/>
  <c r="P280" i="2"/>
  <c r="AD289" i="2"/>
  <c r="AK290" i="2"/>
  <c r="L289" i="2"/>
  <c r="F108" i="2"/>
  <c r="L123" i="2"/>
  <c r="AO120" i="2"/>
  <c r="O159" i="2"/>
  <c r="AI155" i="2"/>
  <c r="AO136" i="2"/>
  <c r="S197" i="2"/>
  <c r="AC212" i="2"/>
  <c r="AF276" i="2"/>
  <c r="AS278" i="2"/>
  <c r="AS288" i="2"/>
  <c r="V283" i="2"/>
  <c r="P102" i="2"/>
  <c r="X119" i="2"/>
  <c r="G119" i="2"/>
  <c r="AG138" i="2"/>
  <c r="AD277" i="2"/>
  <c r="AQ279" i="2"/>
  <c r="W289" i="2"/>
  <c r="AP283" i="2"/>
  <c r="AJ102" i="2"/>
  <c r="H120" i="2"/>
  <c r="AA119" i="2"/>
  <c r="AB152" i="2"/>
  <c r="AS137" i="2"/>
  <c r="E133" i="2"/>
  <c r="F175" i="2"/>
  <c r="AK194" i="2"/>
  <c r="H136" i="2"/>
  <c r="J159" i="2"/>
  <c r="AH156" i="2"/>
  <c r="Q194" i="2"/>
  <c r="U122" i="2"/>
  <c r="V138" i="2"/>
  <c r="W160" i="2"/>
  <c r="AS198" i="2"/>
  <c r="S257" i="2"/>
  <c r="H198" i="2"/>
  <c r="AI281" i="2"/>
  <c r="F280" i="2"/>
  <c r="AH175" i="2"/>
  <c r="AP160" i="2"/>
  <c r="AE212" i="2"/>
  <c r="Z133" i="2"/>
  <c r="W156" i="2"/>
  <c r="AS176" i="2"/>
  <c r="G231" i="2"/>
  <c r="H194" i="2"/>
  <c r="AS254" i="2"/>
  <c r="M260" i="2"/>
  <c r="F277" i="2"/>
  <c r="S279" i="2"/>
  <c r="K289" i="2"/>
  <c r="AD283" i="2"/>
  <c r="X102" i="2"/>
  <c r="AH119" i="2"/>
  <c r="O119" i="2"/>
  <c r="G152" i="2"/>
  <c r="AT277" i="2"/>
  <c r="Q280" i="2"/>
  <c r="AE289" i="2"/>
  <c r="F288" i="2"/>
  <c r="AR102" i="2"/>
  <c r="S120" i="2"/>
  <c r="AI119" i="2"/>
  <c r="AO152" i="2"/>
  <c r="Q138" i="2"/>
  <c r="P133" i="2"/>
  <c r="AC175" i="2"/>
  <c r="Q195" i="2"/>
  <c r="H300" i="2"/>
  <c r="AG276" i="2"/>
  <c r="AO283" i="2"/>
  <c r="R281" i="2"/>
  <c r="J300" i="2"/>
  <c r="L111" i="2"/>
  <c r="R174" i="2"/>
  <c r="AF136" i="2"/>
  <c r="O271" i="2"/>
  <c r="AE277" i="2"/>
  <c r="Q288" i="2"/>
  <c r="AL281" i="2"/>
  <c r="AD300" i="2"/>
  <c r="AF111" i="2"/>
  <c r="P195" i="2"/>
  <c r="Y137" i="2"/>
  <c r="AN133" i="2"/>
  <c r="T256" i="2"/>
  <c r="AO158" i="2"/>
  <c r="J175" i="2"/>
  <c r="J195" i="2"/>
  <c r="AK138" i="2"/>
  <c r="H155" i="2"/>
  <c r="AM175" i="2"/>
  <c r="H260" i="2"/>
  <c r="P137" i="2"/>
  <c r="Q159" i="2"/>
  <c r="V197" i="2"/>
  <c r="G255" i="2"/>
  <c r="AQ195" i="2"/>
  <c r="AD259" i="2"/>
  <c r="AH174" i="2"/>
  <c r="E158" i="2"/>
  <c r="AF159" i="2"/>
  <c r="G76" i="2"/>
  <c r="J120" i="2"/>
  <c r="AB279" i="2"/>
  <c r="AO289" i="2"/>
  <c r="AA277" i="2"/>
  <c r="O290" i="2"/>
  <c r="AS255" i="2"/>
  <c r="O279" i="2"/>
  <c r="Q82" i="2"/>
  <c r="AP13" i="2"/>
  <c r="P277" i="2"/>
  <c r="Z280" i="2"/>
  <c r="U276" i="2"/>
  <c r="AK280" i="2"/>
  <c r="G300" i="2"/>
  <c r="I278" i="2"/>
  <c r="AC73" i="2"/>
  <c r="AS82" i="2"/>
  <c r="AA281" i="2"/>
  <c r="N278" i="2"/>
  <c r="AB281" i="2"/>
  <c r="L271" i="2"/>
  <c r="W280" i="2"/>
  <c r="V278" i="2"/>
  <c r="AT291" i="2"/>
  <c r="W283" i="2"/>
  <c r="AS260" i="2"/>
  <c r="AS276" i="2"/>
  <c r="AL277" i="2"/>
  <c r="AA289" i="2"/>
  <c r="AN102" i="2"/>
  <c r="AE119" i="2"/>
  <c r="AJ278" i="2"/>
  <c r="E290" i="2"/>
  <c r="R103" i="2"/>
  <c r="I120" i="2"/>
  <c r="AS138" i="2"/>
  <c r="AK176" i="2"/>
  <c r="AO270" i="2"/>
  <c r="M288" i="2"/>
  <c r="Z300" i="2"/>
  <c r="S194" i="2"/>
  <c r="H276" i="2"/>
  <c r="AG288" i="2"/>
  <c r="J290" i="2"/>
  <c r="AT108" i="2"/>
  <c r="AE133" i="2"/>
  <c r="H123" i="2"/>
  <c r="AO175" i="2"/>
  <c r="Z159" i="2"/>
  <c r="K138" i="2"/>
  <c r="N255" i="2"/>
  <c r="AR258" i="2"/>
  <c r="I194" i="2"/>
  <c r="K159" i="2"/>
  <c r="AR159" i="2"/>
  <c r="V198" i="2"/>
  <c r="AG124" i="2"/>
  <c r="AC155" i="2"/>
  <c r="AN175" i="2"/>
  <c r="V259" i="2"/>
  <c r="L176" i="2"/>
  <c r="AE248" i="2"/>
  <c r="T254" i="2"/>
  <c r="J155" i="2"/>
  <c r="AR155" i="2"/>
  <c r="V176" i="2"/>
  <c r="AD280" i="2"/>
  <c r="AJ137" i="2"/>
  <c r="AK159" i="2"/>
  <c r="G198" i="2"/>
  <c r="E256" i="2"/>
  <c r="U197" i="2"/>
  <c r="AK271" i="2"/>
  <c r="AK277" i="2"/>
  <c r="AB278" i="2"/>
  <c r="H281" i="2"/>
  <c r="AQ289" i="2"/>
  <c r="R288" i="2"/>
  <c r="N103" i="2"/>
  <c r="AI120" i="2"/>
  <c r="E120" i="2"/>
  <c r="AA155" i="2"/>
  <c r="Z279" i="2"/>
  <c r="H288" i="2"/>
  <c r="U290" i="2"/>
  <c r="AL288" i="2"/>
  <c r="G53" i="2"/>
  <c r="W28" i="2"/>
  <c r="AI258" i="2"/>
  <c r="S260" i="2"/>
  <c r="AH291" i="2"/>
  <c r="AD13" i="2"/>
  <c r="AQ276" i="2"/>
  <c r="Z271" i="2"/>
  <c r="S55" i="2"/>
  <c r="Q37" i="2"/>
  <c r="AC257" i="2"/>
  <c r="M259" i="2"/>
  <c r="V289" i="2"/>
  <c r="Q259" i="2"/>
  <c r="AR260" i="2"/>
  <c r="AB300" i="2"/>
  <c r="AB48" i="2"/>
  <c r="R24" i="2"/>
  <c r="Y259" i="2"/>
  <c r="AM300" i="2"/>
  <c r="AS271" i="2"/>
  <c r="Q278" i="2"/>
  <c r="K248" i="2"/>
  <c r="I255" i="2"/>
  <c r="L255" i="2"/>
  <c r="AI256" i="2"/>
  <c r="AH277" i="2"/>
  <c r="E280" i="2"/>
  <c r="AO296" i="2"/>
  <c r="U300" i="2"/>
  <c r="AN109" i="2"/>
  <c r="P124" i="2"/>
  <c r="M270" i="2"/>
  <c r="AD194" i="2"/>
  <c r="Z108" i="2"/>
  <c r="AF291" i="2"/>
  <c r="AA255" i="2"/>
  <c r="J156" i="2"/>
  <c r="Y254" i="2"/>
  <c r="G248" i="2"/>
  <c r="J194" i="2"/>
  <c r="N152" i="2"/>
  <c r="AR198" i="2"/>
  <c r="AS296" i="2"/>
  <c r="AA124" i="2"/>
  <c r="AQ280" i="2"/>
  <c r="L109" i="2"/>
  <c r="R123" i="2"/>
  <c r="M160" i="2"/>
  <c r="J257" i="2"/>
  <c r="AR278" i="2"/>
  <c r="I290" i="2"/>
  <c r="V103" i="2"/>
  <c r="M120" i="2"/>
  <c r="AP279" i="2"/>
  <c r="AC290" i="2"/>
  <c r="AP103" i="2"/>
  <c r="AG120" i="2"/>
  <c r="N155" i="2"/>
  <c r="AP195" i="2"/>
  <c r="W155" i="2"/>
  <c r="AL158" i="2"/>
  <c r="AA123" i="2"/>
  <c r="AG174" i="2"/>
  <c r="V276" i="2"/>
  <c r="AD159" i="2"/>
  <c r="AO300" i="2"/>
  <c r="S159" i="2"/>
  <c r="W122" i="2"/>
  <c r="Z110" i="2"/>
  <c r="V195" i="2"/>
  <c r="AF133" i="2"/>
  <c r="J136" i="2"/>
  <c r="AJ194" i="2"/>
  <c r="Z158" i="2"/>
  <c r="U174" i="2"/>
  <c r="AQ257" i="2"/>
  <c r="W291" i="2"/>
  <c r="AH122" i="2"/>
  <c r="AQ291" i="2"/>
  <c r="Z122" i="2"/>
  <c r="AK156" i="2"/>
  <c r="T136" i="2"/>
  <c r="Z198" i="2"/>
  <c r="M278" i="2"/>
  <c r="F283" i="2"/>
  <c r="AR111" i="2"/>
  <c r="AT137" i="2"/>
  <c r="K279" i="2"/>
  <c r="Z283" i="2"/>
  <c r="AC119" i="2"/>
  <c r="AN138" i="2"/>
  <c r="Z124" i="2"/>
  <c r="AP176" i="2"/>
  <c r="P156" i="2"/>
  <c r="AL176" i="2"/>
  <c r="F138" i="2"/>
  <c r="W198" i="2"/>
  <c r="AG197" i="2"/>
  <c r="V212" i="2"/>
  <c r="V160" i="2"/>
  <c r="J133" i="2"/>
  <c r="W176" i="2"/>
  <c r="AF176" i="2"/>
  <c r="AM259" i="2"/>
  <c r="AT30" i="2"/>
  <c r="AM280" i="2"/>
  <c r="N290" i="2"/>
  <c r="AS133" i="2"/>
  <c r="Y277" i="2"/>
  <c r="Q281" i="2"/>
  <c r="AH290" i="2"/>
  <c r="V137" i="2"/>
  <c r="AF195" i="2"/>
  <c r="AQ138" i="2"/>
  <c r="L155" i="2"/>
  <c r="X288" i="2"/>
  <c r="AP288" i="2"/>
  <c r="AF122" i="2"/>
  <c r="P158" i="2"/>
  <c r="T290" i="2"/>
  <c r="T289" i="2"/>
  <c r="Z123" i="2"/>
  <c r="AT159" i="2"/>
  <c r="J137" i="2"/>
  <c r="AQ231" i="2"/>
  <c r="Z231" i="2"/>
  <c r="T197" i="2"/>
  <c r="AP152" i="2"/>
  <c r="V255" i="2"/>
  <c r="I231" i="2"/>
  <c r="E138" i="2"/>
  <c r="AA175" i="2"/>
  <c r="AT136" i="2"/>
  <c r="F197" i="2"/>
  <c r="AE195" i="2"/>
  <c r="O276" i="2"/>
  <c r="N289" i="2"/>
  <c r="H289" i="2"/>
  <c r="E123" i="2"/>
  <c r="G260" i="2"/>
  <c r="J291" i="2"/>
  <c r="AB289" i="2"/>
  <c r="AO123" i="2"/>
  <c r="AC160" i="2"/>
  <c r="U137" i="2"/>
  <c r="I254" i="2"/>
  <c r="AI279" i="2"/>
  <c r="AL283" i="2"/>
  <c r="AS119" i="2"/>
  <c r="T152" i="2"/>
  <c r="AH280" i="2"/>
  <c r="N288" i="2"/>
  <c r="AD120" i="2"/>
  <c r="O155" i="2"/>
  <c r="AA133" i="2"/>
  <c r="AL195" i="2"/>
  <c r="O174" i="2"/>
  <c r="AL194" i="2"/>
  <c r="AL138" i="2"/>
  <c r="Z212" i="2"/>
  <c r="X198" i="2"/>
  <c r="AP124" i="2"/>
  <c r="T174" i="2"/>
  <c r="AN260" i="2"/>
  <c r="T137" i="2"/>
  <c r="U159" i="2"/>
  <c r="AA197" i="2"/>
  <c r="O255" i="2"/>
  <c r="E197" i="2"/>
  <c r="AT259" i="2"/>
  <c r="E277" i="2"/>
  <c r="AB23" i="2"/>
  <c r="M37" i="2"/>
  <c r="AG38" i="2"/>
  <c r="J57" i="2"/>
  <c r="G99" i="2"/>
  <c r="AK136" i="2"/>
  <c r="L160" i="2"/>
  <c r="AP156" i="2"/>
  <c r="AA194" i="2"/>
  <c r="AC122" i="2"/>
  <c r="AD138" i="2"/>
  <c r="AE160" i="2"/>
  <c r="N212" i="2"/>
  <c r="AT257" i="2"/>
  <c r="P198" i="2"/>
  <c r="Q289" i="2"/>
  <c r="T124" i="2"/>
  <c r="AE176" i="2"/>
  <c r="L174" i="2"/>
  <c r="U231" i="2"/>
  <c r="AH133" i="2"/>
  <c r="AE156" i="2"/>
  <c r="R110" i="2"/>
  <c r="AM281" i="2"/>
  <c r="AM288" i="2"/>
  <c r="U156" i="2"/>
  <c r="R155" i="2"/>
  <c r="N197" i="2"/>
  <c r="K158" i="2"/>
  <c r="P256" i="2"/>
  <c r="X195" i="2"/>
  <c r="E248" i="2"/>
  <c r="T14" i="2"/>
  <c r="AN289" i="2"/>
  <c r="AQ271" i="2"/>
  <c r="R290" i="2"/>
  <c r="G136" i="2"/>
  <c r="AI176" i="2"/>
  <c r="U138" i="2"/>
  <c r="AL276" i="2"/>
  <c r="AN281" i="2"/>
  <c r="Z288" i="2"/>
  <c r="AT120" i="2"/>
  <c r="E156" i="2"/>
  <c r="AN288" i="2"/>
  <c r="AT288" i="2"/>
  <c r="AN122" i="2"/>
  <c r="AB158" i="2"/>
  <c r="AE136" i="2"/>
  <c r="F212" i="2"/>
  <c r="G197" i="2"/>
  <c r="AN195" i="2"/>
  <c r="Z152" i="2"/>
  <c r="P254" i="2"/>
  <c r="P212" i="2"/>
  <c r="G133" i="2"/>
  <c r="O291" i="2"/>
  <c r="AI291" i="2"/>
  <c r="T133" i="2"/>
  <c r="AI159" i="2"/>
  <c r="AF174" i="2"/>
  <c r="AM194" i="2"/>
  <c r="L152" i="2"/>
  <c r="O123" i="2"/>
  <c r="AF260" i="2"/>
  <c r="AI283" i="2"/>
  <c r="AH108" i="2"/>
  <c r="AC289" i="2"/>
  <c r="AH103" i="2"/>
  <c r="Y120" i="2"/>
  <c r="AG152" i="2"/>
  <c r="L195" i="2"/>
  <c r="AM271" i="2"/>
  <c r="AC288" i="2"/>
  <c r="AP300" i="2"/>
  <c r="E231" i="2"/>
  <c r="AN276" i="2"/>
  <c r="G289" i="2"/>
  <c r="T102" i="2"/>
  <c r="K119" i="2"/>
  <c r="Q137" i="2"/>
  <c r="F174" i="2"/>
  <c r="AB124" i="2"/>
  <c r="R156" i="2"/>
  <c r="E122" i="2"/>
  <c r="G160" i="2"/>
  <c r="AC256" i="2"/>
  <c r="J278" i="2"/>
  <c r="K174" i="2"/>
  <c r="G212" i="2"/>
  <c r="G156" i="2"/>
  <c r="P279" i="2"/>
  <c r="X254" i="2"/>
  <c r="X19" i="2"/>
  <c r="M289" i="2"/>
  <c r="AM291" i="2"/>
  <c r="H109" i="2"/>
  <c r="M123" i="2"/>
  <c r="I291" i="2"/>
  <c r="I300" i="2"/>
  <c r="AB109" i="2"/>
  <c r="AN123" i="2"/>
  <c r="V174" i="2"/>
  <c r="AA288" i="2"/>
  <c r="AH279" i="2"/>
  <c r="Y290" i="2"/>
  <c r="AL103" i="2"/>
  <c r="AC120" i="2"/>
  <c r="AG280" i="2"/>
  <c r="AS290" i="2"/>
  <c r="N108" i="2"/>
  <c r="G122" i="2"/>
  <c r="M156" i="2"/>
  <c r="I198" i="2"/>
  <c r="Y158" i="2"/>
  <c r="L159" i="2"/>
  <c r="AQ123" i="2"/>
  <c r="H175" i="2"/>
  <c r="X279" i="2"/>
  <c r="Y175" i="2"/>
  <c r="W257" i="2"/>
  <c r="AL257" i="2"/>
  <c r="E159" i="2"/>
  <c r="AG254" i="2"/>
  <c r="X258" i="2"/>
  <c r="H280" i="2"/>
  <c r="AG290" i="2"/>
  <c r="AT103" i="2"/>
  <c r="AK120" i="2"/>
  <c r="W281" i="2"/>
  <c r="K291" i="2"/>
  <c r="V108" i="2"/>
  <c r="R122" i="2"/>
  <c r="AJ156" i="2"/>
  <c r="AI198" i="2"/>
  <c r="V277" i="2"/>
  <c r="S289" i="2"/>
  <c r="AF102" i="2"/>
  <c r="W119" i="2"/>
  <c r="T278" i="2"/>
  <c r="AM289" i="2"/>
  <c r="J103" i="2"/>
  <c r="AQ119" i="2"/>
  <c r="AE138" i="2"/>
  <c r="I176" i="2"/>
  <c r="W137" i="2"/>
  <c r="F158" i="2"/>
  <c r="AK122" i="2"/>
  <c r="AR160" i="2"/>
  <c r="AJ258" i="2"/>
  <c r="AE300" i="2"/>
  <c r="Z194" i="2"/>
  <c r="F198" i="2"/>
  <c r="U124" i="2"/>
  <c r="Q155" i="2"/>
  <c r="AB175" i="2"/>
  <c r="R257" i="2"/>
  <c r="AS291" i="2"/>
  <c r="AK231" i="2"/>
  <c r="G259" i="2"/>
  <c r="AA17" i="2"/>
  <c r="AE28" i="2"/>
  <c r="G26" i="2"/>
  <c r="AS46" i="2"/>
  <c r="H73" i="2"/>
  <c r="AF15" i="2"/>
  <c r="J124" i="2"/>
  <c r="J176" i="2"/>
  <c r="H174" i="2"/>
  <c r="J231" i="2"/>
  <c r="AD133" i="2"/>
  <c r="AA156" i="2"/>
  <c r="G194" i="2"/>
  <c r="M231" i="2"/>
  <c r="L194" i="2"/>
  <c r="J255" i="2"/>
  <c r="I137" i="2"/>
  <c r="AF160" i="2"/>
  <c r="AT156" i="2"/>
  <c r="AG194" i="2"/>
  <c r="AG122" i="2"/>
  <c r="AH138" i="2"/>
  <c r="E137" i="2"/>
  <c r="AD136" i="2"/>
  <c r="O195" i="2"/>
  <c r="AK35" i="2"/>
  <c r="AJ291" i="2"/>
  <c r="V291" i="2"/>
  <c r="F300" i="2"/>
  <c r="AI124" i="2"/>
  <c r="S276" i="2"/>
  <c r="V290" i="2"/>
  <c r="O278" i="2"/>
  <c r="AP290" i="2"/>
  <c r="AB197" i="2"/>
  <c r="T155" i="2"/>
  <c r="W212" i="2"/>
  <c r="AS295" i="2"/>
  <c r="AE159" i="2"/>
  <c r="Z138" i="2"/>
  <c r="L198" i="2"/>
  <c r="M281" i="2"/>
  <c r="G137" i="2"/>
  <c r="AG281" i="2"/>
  <c r="AJ138" i="2"/>
  <c r="U152" i="2"/>
  <c r="AT289" i="2"/>
  <c r="T123" i="2"/>
  <c r="AP291" i="2"/>
  <c r="N124" i="2"/>
  <c r="AE137" i="2"/>
  <c r="Z278" i="2"/>
  <c r="M155" i="2"/>
  <c r="AD231" i="2"/>
  <c r="AQ175" i="2"/>
  <c r="AP138" i="2"/>
  <c r="AG212" i="2"/>
  <c r="AB198" i="2"/>
  <c r="P13" i="2"/>
  <c r="G20" i="2"/>
  <c r="L60" i="2"/>
  <c r="AM159" i="2"/>
  <c r="T159" i="2"/>
  <c r="I124" i="2"/>
  <c r="P175" i="2"/>
  <c r="S281" i="2"/>
  <c r="N194" i="2"/>
  <c r="AN279" i="2"/>
  <c r="R259" i="2"/>
  <c r="M159" i="2"/>
  <c r="P197" i="2"/>
  <c r="AR254" i="2"/>
  <c r="AM195" i="2"/>
  <c r="N259" i="2"/>
  <c r="AE276" i="2"/>
  <c r="Q23" i="2"/>
  <c r="AO36" i="2"/>
  <c r="N55" i="2"/>
  <c r="AC82" i="2"/>
  <c r="AI259" i="2"/>
  <c r="AL30" i="2"/>
  <c r="AT70" i="2"/>
  <c r="M38" i="2"/>
  <c r="AR12" i="2"/>
  <c r="AQ14" i="2"/>
  <c r="L24" i="2"/>
  <c r="R38" i="2"/>
  <c r="AC56" i="2"/>
  <c r="AM92" i="2"/>
  <c r="Y41" i="2"/>
  <c r="AL54" i="2"/>
  <c r="AN15" i="2"/>
  <c r="E35" i="2"/>
  <c r="AN54" i="2"/>
  <c r="S78" i="2"/>
  <c r="AR197" i="2"/>
  <c r="P152" i="2"/>
  <c r="X155" i="2"/>
  <c r="F176" i="2"/>
  <c r="F276" i="2"/>
  <c r="X137" i="2"/>
  <c r="Y159" i="2"/>
  <c r="AF197" i="2"/>
  <c r="W255" i="2"/>
  <c r="I197" i="2"/>
  <c r="T260" i="2"/>
  <c r="N176" i="2"/>
  <c r="AK158" i="2"/>
  <c r="AN159" i="2"/>
  <c r="Q198" i="2"/>
  <c r="AC124" i="2"/>
  <c r="Y155" i="2"/>
  <c r="AJ175" i="2"/>
  <c r="AF258" i="2"/>
  <c r="H176" i="2"/>
  <c r="U248" i="2"/>
  <c r="O259" i="2"/>
  <c r="J18" i="2"/>
  <c r="AP28" i="2"/>
  <c r="AO45" i="2"/>
  <c r="F70" i="2"/>
  <c r="X13" i="2"/>
  <c r="W20" i="2"/>
  <c r="T51" i="2"/>
  <c r="AB18" i="2"/>
  <c r="M82" i="2"/>
  <c r="T11" i="2"/>
  <c r="AE19" i="2"/>
  <c r="F33" i="2"/>
  <c r="P48" i="2"/>
  <c r="Y73" i="2"/>
  <c r="G35" i="2"/>
  <c r="J51" i="2"/>
  <c r="K259" i="2"/>
  <c r="AJ28" i="2"/>
  <c r="AN69" i="2"/>
  <c r="AC36" i="2"/>
  <c r="L12" i="2"/>
  <c r="AA14" i="2"/>
  <c r="AN23" i="2"/>
  <c r="AL37" i="2"/>
  <c r="E56" i="2"/>
  <c r="AK89" i="2"/>
  <c r="AS40" i="2"/>
  <c r="Z54" i="2"/>
  <c r="AD60" i="2"/>
  <c r="AR77" i="2"/>
  <c r="AD174" i="2"/>
  <c r="AI45" i="2"/>
  <c r="S259" i="2"/>
  <c r="F30" i="2"/>
  <c r="N70" i="2"/>
  <c r="I37" i="2"/>
  <c r="W12" i="2"/>
  <c r="AF14" i="2"/>
  <c r="AS23" i="2"/>
  <c r="Y36" i="2"/>
  <c r="AD55" i="2"/>
  <c r="I84" i="2"/>
  <c r="AJ256" i="2"/>
  <c r="Z155" i="2"/>
  <c r="F156" i="2"/>
  <c r="AA176" i="2"/>
  <c r="AE283" i="2"/>
  <c r="AN137" i="2"/>
  <c r="AO159" i="2"/>
  <c r="M198" i="2"/>
  <c r="M256" i="2"/>
  <c r="Y197" i="2"/>
  <c r="AD276" i="2"/>
  <c r="AN197" i="2"/>
  <c r="Q160" i="2"/>
  <c r="N160" i="2"/>
  <c r="AL198" i="2"/>
  <c r="AS124" i="2"/>
  <c r="AO155" i="2"/>
  <c r="M176" i="2"/>
  <c r="N276" i="2"/>
  <c r="X176" i="2"/>
  <c r="M254" i="2"/>
  <c r="AE259" i="2"/>
  <c r="N19" i="2"/>
  <c r="AD30" i="2"/>
  <c r="AC46" i="2"/>
  <c r="AL70" i="2"/>
  <c r="AR14" i="2"/>
  <c r="V21" i="2"/>
  <c r="AP53" i="2"/>
  <c r="H21" i="2"/>
  <c r="E109" i="2"/>
  <c r="AP11" i="2"/>
  <c r="N20" i="2"/>
  <c r="AL33" i="2"/>
  <c r="E51" i="2"/>
  <c r="O74" i="2"/>
  <c r="AM35" i="2"/>
  <c r="Z51" i="2"/>
  <c r="AQ259" i="2"/>
  <c r="N30" i="2"/>
  <c r="R53" i="2"/>
  <c r="R76" i="2"/>
  <c r="P160" i="2"/>
  <c r="O137" i="2"/>
  <c r="M248" i="2"/>
  <c r="Q231" i="2"/>
  <c r="AE158" i="2"/>
  <c r="N257" i="2"/>
  <c r="X271" i="2"/>
  <c r="AD110" i="2"/>
  <c r="Y276" i="2"/>
  <c r="H111" i="2"/>
  <c r="E212" i="2"/>
  <c r="AS289" i="2"/>
  <c r="P109" i="2"/>
  <c r="AO291" i="2"/>
  <c r="AJ109" i="2"/>
  <c r="I175" i="2"/>
  <c r="L258" i="2"/>
  <c r="V133" i="2"/>
  <c r="AR176" i="2"/>
  <c r="AL156" i="2"/>
  <c r="AA160" i="2"/>
  <c r="O283" i="2"/>
  <c r="E300" i="2"/>
  <c r="AH123" i="2"/>
  <c r="Y300" i="2"/>
  <c r="W124" i="2"/>
  <c r="AC158" i="2"/>
  <c r="AO290" i="2"/>
  <c r="AS120" i="2"/>
  <c r="S291" i="2"/>
  <c r="AB122" i="2"/>
  <c r="AA212" i="2"/>
  <c r="AB159" i="2"/>
  <c r="X175" i="2"/>
  <c r="H197" i="2"/>
  <c r="W248" i="2"/>
  <c r="AM156" i="2"/>
  <c r="AC231" i="2"/>
  <c r="AH255" i="2"/>
  <c r="AB20" i="2"/>
  <c r="AC33" i="2"/>
  <c r="H77" i="2"/>
  <c r="P138" i="2"/>
  <c r="AE175" i="2"/>
  <c r="H137" i="2"/>
  <c r="K197" i="2"/>
  <c r="AI195" i="2"/>
  <c r="AB160" i="2"/>
  <c r="X159" i="2"/>
  <c r="M124" i="2"/>
  <c r="AJ160" i="2"/>
  <c r="S212" i="2"/>
  <c r="T258" i="2"/>
  <c r="T198" i="2"/>
  <c r="AM290" i="2"/>
  <c r="AM12" i="2"/>
  <c r="R26" i="2"/>
  <c r="AQ40" i="2"/>
  <c r="P58" i="2"/>
  <c r="K110" i="2"/>
  <c r="AP10" i="2"/>
  <c r="Y38" i="2"/>
  <c r="Q98" i="2"/>
  <c r="L54" i="2"/>
  <c r="AR16" i="2"/>
  <c r="G17" i="2"/>
  <c r="L27" i="2"/>
  <c r="AB42" i="2"/>
  <c r="AE59" i="2"/>
  <c r="AN136" i="2"/>
  <c r="O45" i="2"/>
  <c r="R56" i="2"/>
  <c r="AF21" i="2"/>
  <c r="AA40" i="2"/>
  <c r="AP57" i="2"/>
  <c r="AE108" i="2"/>
  <c r="I138" i="2"/>
  <c r="Q175" i="2"/>
  <c r="N158" i="2"/>
  <c r="H195" i="2"/>
  <c r="AS122" i="2"/>
  <c r="AT138" i="2"/>
  <c r="I174" i="2"/>
  <c r="K231" i="2"/>
  <c r="Z259" i="2"/>
  <c r="AF198" i="2"/>
  <c r="AE257" i="2"/>
  <c r="U133" i="2"/>
  <c r="AB195" i="2"/>
  <c r="AB174" i="2"/>
  <c r="O254" i="2"/>
  <c r="F136" i="2"/>
  <c r="G158" i="2"/>
  <c r="AH194" i="2"/>
  <c r="AS231" i="2"/>
  <c r="AF194" i="2"/>
  <c r="H256" i="2"/>
  <c r="AK260" i="2"/>
  <c r="AM20" i="2"/>
  <c r="AG34" i="2"/>
  <c r="AR51" i="2"/>
  <c r="AT74" i="2"/>
  <c r="AF19" i="2"/>
  <c r="W26" i="2"/>
  <c r="X58" i="2"/>
  <c r="R28" i="2"/>
  <c r="J10" i="2"/>
  <c r="W13" i="2"/>
  <c r="AH21" i="2"/>
  <c r="AT35" i="2"/>
  <c r="Q54" i="2"/>
  <c r="AO77" i="2"/>
  <c r="O38" i="2"/>
  <c r="AF53" i="2"/>
  <c r="M277" i="2"/>
  <c r="U37" i="2"/>
  <c r="AO84" i="2"/>
  <c r="X51" i="2"/>
  <c r="L16" i="2"/>
  <c r="AI16" i="2"/>
  <c r="AN26" i="2"/>
  <c r="AN41" i="2"/>
  <c r="G59" i="2"/>
  <c r="AJ120" i="2"/>
  <c r="AK43" i="2"/>
  <c r="F56" i="2"/>
  <c r="H70" i="2"/>
  <c r="AM85" i="2"/>
  <c r="O34" i="2"/>
  <c r="AK10" i="2"/>
  <c r="AC277" i="2"/>
  <c r="AK37" i="2"/>
  <c r="AG89" i="2"/>
  <c r="F53" i="2"/>
  <c r="W16" i="2"/>
  <c r="AN16" i="2"/>
  <c r="AT26" i="2"/>
  <c r="O41" i="2"/>
  <c r="AF58" i="2"/>
  <c r="AG111" i="2"/>
  <c r="Y152" i="2"/>
  <c r="AO194" i="2"/>
  <c r="AD158" i="2"/>
  <c r="AC195" i="2"/>
  <c r="S123" i="2"/>
  <c r="R152" i="2"/>
  <c r="Y174" i="2"/>
  <c r="Y248" i="2"/>
  <c r="AO265" i="2"/>
  <c r="H212" i="2"/>
  <c r="E258" i="2"/>
  <c r="Y136" i="2"/>
  <c r="AK198" i="2"/>
  <c r="AR174" i="2"/>
  <c r="S255" i="2"/>
  <c r="V136" i="2"/>
  <c r="W158" i="2"/>
  <c r="N195" i="2"/>
  <c r="AM248" i="2"/>
  <c r="G195" i="2"/>
  <c r="AN256" i="2"/>
  <c r="AK270" i="2"/>
  <c r="P21" i="2"/>
  <c r="U35" i="2"/>
  <c r="AH53" i="2"/>
  <c r="AH76" i="2"/>
  <c r="M258" i="2"/>
  <c r="V27" i="2"/>
  <c r="AT59" i="2"/>
  <c r="AG33" i="2"/>
  <c r="H11" i="2"/>
  <c r="AR13" i="2"/>
  <c r="M23" i="2"/>
  <c r="AH36" i="2"/>
  <c r="G55" i="2"/>
  <c r="W83" i="2"/>
  <c r="I40" i="2"/>
  <c r="F54" i="2"/>
  <c r="AD11" i="2"/>
  <c r="AS37" i="2"/>
  <c r="T56" i="2"/>
  <c r="W90" i="2"/>
  <c r="S133" i="2"/>
  <c r="I158" i="2"/>
  <c r="Z156" i="2"/>
  <c r="F194" i="2"/>
  <c r="M122" i="2"/>
  <c r="N138" i="2"/>
  <c r="O160" i="2"/>
  <c r="AH198" i="2"/>
  <c r="AS256" i="2"/>
  <c r="AO197" i="2"/>
  <c r="AF279" i="2"/>
  <c r="AQ254" i="2"/>
  <c r="AQ174" i="2"/>
  <c r="AD160" i="2"/>
  <c r="R212" i="2"/>
  <c r="R133" i="2"/>
  <c r="O156" i="2"/>
  <c r="AH176" i="2"/>
  <c r="G290" i="2"/>
  <c r="AN176" i="2"/>
  <c r="AI254" i="2"/>
  <c r="E260" i="2"/>
  <c r="AN19" i="2"/>
  <c r="M33" i="2"/>
  <c r="O48" i="2"/>
  <c r="X73" i="2"/>
  <c r="Z16" i="2"/>
  <c r="V23" i="2"/>
  <c r="V55" i="2"/>
  <c r="H24" i="2"/>
  <c r="L11" i="2"/>
  <c r="X12" i="2"/>
  <c r="AI20" i="2"/>
  <c r="Z34" i="2"/>
  <c r="AK51" i="2"/>
  <c r="K76" i="2"/>
  <c r="AE36" i="2"/>
  <c r="AP51" i="2"/>
  <c r="AG260" i="2"/>
  <c r="Y34" i="2"/>
  <c r="AL74" i="2"/>
  <c r="W42" i="2"/>
  <c r="O14" i="2"/>
  <c r="AE15" i="2"/>
  <c r="AL24" i="2"/>
  <c r="T40" i="2"/>
  <c r="AA57" i="2"/>
  <c r="AG102" i="2"/>
  <c r="Q42" i="2"/>
  <c r="P55" i="2"/>
  <c r="R69" i="2"/>
  <c r="AK82" i="2"/>
  <c r="AN30" i="2"/>
  <c r="E10" i="2"/>
  <c r="AO260" i="2"/>
  <c r="AO34" i="2"/>
  <c r="J76" i="2"/>
  <c r="K43" i="2"/>
  <c r="Z14" i="2"/>
  <c r="AJ15" i="2"/>
  <c r="AR24" i="2"/>
  <c r="AM99" i="2"/>
  <c r="K17" i="2"/>
  <c r="R27" i="2"/>
  <c r="AM59" i="2"/>
  <c r="W45" i="2"/>
  <c r="X70" i="2"/>
  <c r="K35" i="2"/>
  <c r="G12" i="2"/>
  <c r="S103" i="2"/>
  <c r="V17" i="2"/>
  <c r="W27" i="2"/>
  <c r="AR42" i="2"/>
  <c r="E60" i="2"/>
  <c r="AD155" i="2"/>
  <c r="AE45" i="2"/>
  <c r="Z56" i="2"/>
  <c r="K175" i="2"/>
  <c r="Y195" i="2"/>
  <c r="V271" i="2"/>
  <c r="Q283" i="2"/>
  <c r="AR156" i="2"/>
  <c r="AK283" i="2"/>
  <c r="AN160" i="2"/>
  <c r="X156" i="2"/>
  <c r="E281" i="2"/>
  <c r="U136" i="2"/>
  <c r="Y281" i="2"/>
  <c r="H138" i="2"/>
  <c r="K152" i="2"/>
  <c r="R175" i="2"/>
  <c r="S156" i="2"/>
  <c r="AN254" i="2"/>
  <c r="V194" i="2"/>
  <c r="I212" i="2"/>
  <c r="R12" i="2"/>
  <c r="AD290" i="2"/>
  <c r="E279" i="2"/>
  <c r="H291" i="2"/>
  <c r="Y198" i="2"/>
  <c r="AB155" i="2"/>
  <c r="P289" i="2"/>
  <c r="W260" i="2"/>
  <c r="AJ289" i="2"/>
  <c r="W174" i="2"/>
  <c r="K255" i="2"/>
  <c r="AP197" i="2"/>
  <c r="AR256" i="2"/>
  <c r="E152" i="2"/>
  <c r="AO122" i="2"/>
  <c r="E174" i="2"/>
  <c r="J259" i="2"/>
  <c r="AA257" i="2"/>
  <c r="AB26" i="2"/>
  <c r="AQ42" i="2"/>
  <c r="G155" i="2"/>
  <c r="Q256" i="2"/>
  <c r="AE197" i="2"/>
  <c r="E155" i="2"/>
  <c r="L256" i="2"/>
  <c r="S231" i="2"/>
  <c r="AA138" i="2"/>
  <c r="AI175" i="2"/>
  <c r="L137" i="2"/>
  <c r="T175" i="2"/>
  <c r="AB256" i="2"/>
  <c r="AQ288" i="2"/>
  <c r="Y231" i="2"/>
  <c r="AO258" i="2"/>
  <c r="F17" i="2"/>
  <c r="T28" i="2"/>
  <c r="I45" i="2"/>
  <c r="P69" i="2"/>
  <c r="P11" i="2"/>
  <c r="S19" i="2"/>
  <c r="AK46" i="2"/>
  <c r="P15" i="2"/>
  <c r="V76" i="2"/>
  <c r="AL10" i="2"/>
  <c r="J19" i="2"/>
  <c r="O30" i="2"/>
  <c r="AD46" i="2"/>
  <c r="AE70" i="2"/>
  <c r="S34" i="2"/>
  <c r="AG48" i="2"/>
  <c r="U258" i="2"/>
  <c r="F21" i="2"/>
  <c r="AE43" i="2"/>
  <c r="AR60" i="2"/>
  <c r="AB10" i="2"/>
  <c r="V175" i="2"/>
  <c r="U158" i="2"/>
  <c r="AJ159" i="2"/>
  <c r="K198" i="2"/>
  <c r="Y124" i="2"/>
  <c r="U155" i="2"/>
  <c r="AF175" i="2"/>
  <c r="AP257" i="2"/>
  <c r="O300" i="2"/>
  <c r="I248" i="2"/>
  <c r="AP198" i="2"/>
  <c r="AA152" i="2"/>
  <c r="AF155" i="2"/>
  <c r="K176" i="2"/>
  <c r="AB277" i="2"/>
  <c r="AB137" i="2"/>
  <c r="AC159" i="2"/>
  <c r="AL197" i="2"/>
  <c r="AE255" i="2"/>
  <c r="M197" i="2"/>
  <c r="AJ260" i="2"/>
  <c r="U277" i="2"/>
  <c r="AL23" i="2"/>
  <c r="AC37" i="2"/>
  <c r="AT55" i="2"/>
  <c r="AE85" i="2"/>
  <c r="Y260" i="2"/>
  <c r="I34" i="2"/>
  <c r="V74" i="2"/>
  <c r="AI41" i="2"/>
  <c r="AL13" i="2"/>
  <c r="Z15" i="2"/>
  <c r="AG24" i="2"/>
  <c r="L40" i="2"/>
  <c r="S57" i="2"/>
  <c r="AQ99" i="2"/>
  <c r="I42" i="2"/>
  <c r="L55" i="2"/>
  <c r="AL17" i="2"/>
  <c r="AG45" i="2"/>
  <c r="H13" i="2"/>
  <c r="T73" i="2"/>
  <c r="V10" i="2"/>
  <c r="AF18" i="2"/>
  <c r="AL28" i="2"/>
  <c r="F46" i="2"/>
  <c r="G70" i="2"/>
  <c r="AE33" i="2"/>
  <c r="U48" i="2"/>
  <c r="AB57" i="2"/>
  <c r="AD73" i="2"/>
  <c r="AE99" i="2"/>
  <c r="AA37" i="2"/>
  <c r="M12" i="2"/>
  <c r="T18" i="2"/>
  <c r="E46" i="2"/>
  <c r="AN13" i="2"/>
  <c r="AR73" i="2"/>
  <c r="AA10" i="2"/>
  <c r="AL18" i="2"/>
  <c r="F23" i="2"/>
  <c r="Y45" i="2"/>
  <c r="AF69" i="2"/>
  <c r="Z12" i="2"/>
  <c r="AR195" i="2"/>
  <c r="AQ159" i="2"/>
  <c r="J160" i="2"/>
  <c r="AG198" i="2"/>
  <c r="AO124" i="2"/>
  <c r="AK155" i="2"/>
  <c r="G176" i="2"/>
  <c r="I265" i="2"/>
  <c r="T176" i="2"/>
  <c r="H254" i="2"/>
  <c r="U271" i="2"/>
  <c r="AP155" i="2"/>
  <c r="N156" i="2"/>
  <c r="AG176" i="2"/>
  <c r="AG289" i="2"/>
  <c r="AR137" i="2"/>
  <c r="AS159" i="2"/>
  <c r="R198" i="2"/>
  <c r="U256" i="2"/>
  <c r="AC197" i="2"/>
  <c r="T277" i="2"/>
  <c r="AE10" i="2"/>
  <c r="P24" i="2"/>
  <c r="Q38" i="2"/>
  <c r="AJ56" i="2"/>
  <c r="O94" i="2"/>
  <c r="N271" i="2"/>
  <c r="AC35" i="2"/>
  <c r="AP76" i="2"/>
  <c r="M45" i="2"/>
  <c r="AP14" i="2"/>
  <c r="H16" i="2"/>
  <c r="N26" i="2"/>
  <c r="AR40" i="2"/>
  <c r="I58" i="2"/>
  <c r="Y109" i="2"/>
  <c r="AO42" i="2"/>
  <c r="AB55" i="2"/>
  <c r="AI19" i="2"/>
  <c r="K42" i="2"/>
  <c r="V59" i="2"/>
  <c r="AF124" i="2"/>
  <c r="Y156" i="2"/>
  <c r="U198" i="2"/>
  <c r="AT158" i="2"/>
  <c r="I256" i="2"/>
  <c r="L254" i="2"/>
  <c r="AA21" i="2"/>
  <c r="AJ280" i="2"/>
  <c r="AB133" i="2"/>
  <c r="N281" i="2"/>
  <c r="X136" i="2"/>
  <c r="AT160" i="2"/>
  <c r="AK295" i="2"/>
  <c r="X123" i="2"/>
  <c r="Q300" i="2"/>
  <c r="H124" i="2"/>
  <c r="M158" i="2"/>
  <c r="AH160" i="2"/>
  <c r="AM176" i="2"/>
  <c r="W136" i="2"/>
  <c r="Y122" i="2"/>
  <c r="AD257" i="2"/>
  <c r="AI290" i="2"/>
  <c r="X109" i="2"/>
  <c r="S300" i="2"/>
  <c r="AR109" i="2"/>
  <c r="AK175" i="2"/>
  <c r="X280" i="2"/>
  <c r="J108" i="2"/>
  <c r="S283" i="2"/>
  <c r="AD108" i="2"/>
  <c r="L158" i="2"/>
  <c r="G174" i="2"/>
  <c r="Q124" i="2"/>
  <c r="W290" i="2"/>
  <c r="P155" i="2"/>
  <c r="AP133" i="2"/>
  <c r="W194" i="2"/>
  <c r="X194" i="2"/>
  <c r="AC260" i="2"/>
  <c r="Q34" i="2"/>
  <c r="H54" i="2"/>
  <c r="O176" i="2"/>
  <c r="X260" i="2"/>
  <c r="AB258" i="2"/>
  <c r="I159" i="2"/>
  <c r="AM254" i="2"/>
  <c r="AN258" i="2"/>
  <c r="F259" i="2"/>
  <c r="AJ197" i="2"/>
  <c r="I155" i="2"/>
  <c r="M194" i="2"/>
  <c r="R231" i="2"/>
  <c r="P194" i="2"/>
  <c r="R255" i="2"/>
  <c r="U260" i="2"/>
  <c r="R20" i="2"/>
  <c r="AS33" i="2"/>
  <c r="L51" i="2"/>
  <c r="N74" i="2"/>
  <c r="G18" i="2"/>
  <c r="U24" i="2"/>
  <c r="AR56" i="2"/>
  <c r="AE26" i="2"/>
  <c r="AQ12" i="2"/>
  <c r="AT12" i="2"/>
  <c r="L21" i="2"/>
  <c r="N35" i="2"/>
  <c r="AA53" i="2"/>
  <c r="AQ76" i="2"/>
  <c r="W37" i="2"/>
  <c r="P53" i="2"/>
  <c r="AD271" i="2"/>
  <c r="F27" i="2"/>
  <c r="AE48" i="2"/>
  <c r="AN73" i="2"/>
  <c r="N17" i="2"/>
  <c r="K133" i="2"/>
  <c r="F195" i="2"/>
  <c r="X174" i="2"/>
  <c r="AS248" i="2"/>
  <c r="AT133" i="2"/>
  <c r="AQ156" i="2"/>
  <c r="AC194" i="2"/>
  <c r="AI231" i="2"/>
  <c r="AB194" i="2"/>
  <c r="AP255" i="2"/>
  <c r="X138" i="2"/>
  <c r="AL175" i="2"/>
  <c r="R158" i="2"/>
  <c r="M195" i="2"/>
  <c r="G123" i="2"/>
  <c r="F152" i="2"/>
  <c r="M174" i="2"/>
  <c r="V231" i="2"/>
  <c r="AP259" i="2"/>
  <c r="AJ198" i="2"/>
  <c r="AI257" i="2"/>
  <c r="AQ13" i="2"/>
  <c r="AM26" i="2"/>
  <c r="AE41" i="2"/>
  <c r="F59" i="2"/>
  <c r="AE120" i="2"/>
  <c r="F13" i="2"/>
  <c r="G41" i="2"/>
  <c r="AQ110" i="2"/>
  <c r="N57" i="2"/>
  <c r="AQ17" i="2"/>
  <c r="AB17" i="2"/>
  <c r="AH27" i="2"/>
  <c r="P43" i="2"/>
  <c r="U60" i="2"/>
  <c r="AO176" i="2"/>
  <c r="G46" i="2"/>
  <c r="AH56" i="2"/>
  <c r="AG23" i="2"/>
  <c r="AL55" i="2"/>
  <c r="X24" i="2"/>
  <c r="AB11" i="2"/>
  <c r="AD12" i="2"/>
  <c r="AN20" i="2"/>
  <c r="AH34" i="2"/>
  <c r="AS51" i="2"/>
  <c r="S76" i="2"/>
  <c r="AM36" i="2"/>
  <c r="AT51" i="2"/>
  <c r="H59" i="2"/>
  <c r="L76" i="2"/>
  <c r="Y111" i="2"/>
  <c r="AC41" i="2"/>
  <c r="AG13" i="2"/>
  <c r="AR23" i="2"/>
  <c r="L56" i="2"/>
  <c r="AS24" i="2"/>
  <c r="AR11" i="2"/>
  <c r="AI12" i="2"/>
  <c r="AT20" i="2"/>
  <c r="J28" i="2"/>
  <c r="AB51" i="2"/>
  <c r="AD74" i="2"/>
  <c r="AR18" i="2"/>
  <c r="O136" i="2"/>
  <c r="O198" i="2"/>
  <c r="AN174" i="2"/>
  <c r="E255" i="2"/>
  <c r="R136" i="2"/>
  <c r="S158" i="2"/>
  <c r="I195" i="2"/>
  <c r="AC248" i="2"/>
  <c r="AR194" i="2"/>
  <c r="AF256" i="2"/>
  <c r="AN152" i="2"/>
  <c r="Z195" i="2"/>
  <c r="AH158" i="2"/>
  <c r="AH195" i="2"/>
  <c r="W123" i="2"/>
  <c r="V152" i="2"/>
  <c r="AC174" i="2"/>
  <c r="E254" i="2"/>
  <c r="AC271" i="2"/>
  <c r="L212" i="2"/>
  <c r="I258" i="2"/>
  <c r="H15" i="2"/>
  <c r="P27" i="2"/>
  <c r="AA42" i="2"/>
  <c r="AL59" i="2"/>
  <c r="AA136" i="2"/>
  <c r="S15" i="2"/>
  <c r="AI42" i="2"/>
  <c r="H152" i="2"/>
  <c r="AP59" i="2"/>
  <c r="H19" i="2"/>
  <c r="F18" i="2"/>
  <c r="K28" i="2"/>
  <c r="J45" i="2"/>
  <c r="I69" i="2"/>
  <c r="AB30" i="2"/>
  <c r="AM46" i="2"/>
  <c r="H57" i="2"/>
  <c r="E24" i="2"/>
  <c r="M46" i="2"/>
  <c r="V70" i="2"/>
  <c r="L14" i="2"/>
  <c r="AG248" i="2"/>
  <c r="AA174" i="2"/>
  <c r="Z160" i="2"/>
  <c r="M212" i="2"/>
  <c r="N133" i="2"/>
  <c r="K156" i="2"/>
  <c r="AC176" i="2"/>
  <c r="AS280" i="2"/>
  <c r="AJ176" i="2"/>
  <c r="AC254" i="2"/>
  <c r="AG133" i="2"/>
  <c r="AF158" i="2"/>
  <c r="AD156" i="2"/>
  <c r="K194" i="2"/>
  <c r="Q122" i="2"/>
  <c r="R138" i="2"/>
  <c r="S160" i="2"/>
  <c r="AM198" i="2"/>
  <c r="K257" i="2"/>
  <c r="AS197" i="2"/>
  <c r="V280" i="2"/>
  <c r="AN11" i="2"/>
  <c r="AK24" i="2"/>
  <c r="K40" i="2"/>
  <c r="Z57" i="2"/>
  <c r="AC102" i="2"/>
  <c r="AM276" i="2"/>
  <c r="E37" i="2"/>
  <c r="S83" i="2"/>
  <c r="AQ48" i="2"/>
  <c r="AT15" i="2"/>
  <c r="AD16" i="2"/>
  <c r="AI26" i="2"/>
  <c r="AF41" i="2"/>
  <c r="AO58" i="2"/>
  <c r="AJ119" i="2"/>
  <c r="AC43" i="2"/>
  <c r="AR55" i="2"/>
  <c r="AH20" i="2"/>
  <c r="AJ51" i="2"/>
  <c r="P19" i="2"/>
  <c r="O85" i="2"/>
  <c r="Z11" i="2"/>
  <c r="AJ19" i="2"/>
  <c r="N33" i="2"/>
  <c r="X48" i="2"/>
  <c r="AG73" i="2"/>
  <c r="O35" i="2"/>
  <c r="N51" i="2"/>
  <c r="R58" i="2"/>
  <c r="T74" i="2"/>
  <c r="W108" i="2"/>
  <c r="E40" i="2"/>
  <c r="AS12" i="2"/>
  <c r="AR20" i="2"/>
  <c r="J53" i="2"/>
  <c r="T20" i="2"/>
  <c r="AM90" i="2"/>
  <c r="AE11" i="2"/>
  <c r="AP19" i="2"/>
  <c r="AO38" i="2"/>
  <c r="J55" i="2"/>
  <c r="L17" i="2"/>
  <c r="AJ42" i="2"/>
  <c r="W152" i="2"/>
  <c r="V56" i="2"/>
  <c r="O90" i="2"/>
  <c r="I11" i="2"/>
  <c r="S40" i="2"/>
  <c r="AH55" i="2"/>
  <c r="R17" i="2"/>
  <c r="AD35" i="2"/>
  <c r="AQ53" i="2"/>
  <c r="Q77" i="2"/>
  <c r="AM37" i="2"/>
  <c r="X53" i="2"/>
  <c r="O175" i="2"/>
  <c r="AH136" i="2"/>
  <c r="AD195" i="2"/>
  <c r="S195" i="2"/>
  <c r="AS156" i="2"/>
  <c r="H159" i="2"/>
  <c r="AM123" i="2"/>
  <c r="AS174" i="2"/>
  <c r="AH278" i="2"/>
  <c r="Y258" i="2"/>
  <c r="AL27" i="2"/>
  <c r="AB60" i="2"/>
  <c r="P17" i="2"/>
  <c r="AF11" i="2"/>
  <c r="P10" i="2"/>
  <c r="AF28" i="2"/>
  <c r="AO69" i="2"/>
  <c r="Q48" i="2"/>
  <c r="AH26" i="2"/>
  <c r="AH28" i="2"/>
  <c r="AB13" i="2"/>
  <c r="J36" i="2"/>
  <c r="W78" i="2"/>
  <c r="AJ53" i="2"/>
  <c r="AR76" i="2"/>
  <c r="I43" i="2"/>
  <c r="AR26" i="2"/>
  <c r="Z30" i="2"/>
  <c r="AH13" i="2"/>
  <c r="R57" i="2"/>
  <c r="R21" i="2"/>
  <c r="AE37" i="2"/>
  <c r="T120" i="2"/>
  <c r="AH57" i="2"/>
  <c r="W21" i="2"/>
  <c r="AS56" i="2"/>
  <c r="AO41" i="2"/>
  <c r="O10" i="2"/>
  <c r="I38" i="2"/>
  <c r="AI92" i="2"/>
  <c r="AD53" i="2"/>
  <c r="AH16" i="2"/>
  <c r="AT16" i="2"/>
  <c r="G27" i="2"/>
  <c r="T42" i="2"/>
  <c r="W59" i="2"/>
  <c r="AT124" i="2"/>
  <c r="G45" i="2"/>
  <c r="N56" i="2"/>
  <c r="P70" i="2"/>
  <c r="Y89" i="2"/>
  <c r="AE34" i="2"/>
  <c r="AS10" i="2"/>
  <c r="L70" i="2"/>
  <c r="W34" i="2"/>
  <c r="AC15" i="2"/>
  <c r="U21" i="2"/>
  <c r="U30" i="2"/>
  <c r="AJ38" i="2"/>
  <c r="AJ46" i="2"/>
  <c r="AM56" i="2"/>
  <c r="AS70" i="2"/>
  <c r="K94" i="2"/>
  <c r="AT79" i="2"/>
  <c r="H92" i="2"/>
  <c r="P108" i="2"/>
  <c r="V123" i="2"/>
  <c r="AM79" i="2"/>
  <c r="AS90" i="2"/>
  <c r="J73" i="2"/>
  <c r="AA36" i="2"/>
  <c r="E16" i="2"/>
  <c r="AO21" i="2"/>
  <c r="AO30" i="2"/>
  <c r="N40" i="2"/>
  <c r="N48" i="2"/>
  <c r="Q57" i="2"/>
  <c r="W73" i="2"/>
  <c r="AS98" i="2"/>
  <c r="V82" i="2"/>
  <c r="AB92" i="2"/>
  <c r="AJ108" i="2"/>
  <c r="S124" i="2"/>
  <c r="S82" i="2"/>
  <c r="U92" i="2"/>
  <c r="T60" i="2"/>
  <c r="N11" i="2"/>
  <c r="R23" i="2"/>
  <c r="O55" i="2"/>
  <c r="Q40" i="2"/>
  <c r="N60" i="2"/>
  <c r="AB138" i="2"/>
  <c r="AC258" i="2"/>
  <c r="AJ60" i="2"/>
  <c r="X11" i="2"/>
  <c r="X23" i="2"/>
  <c r="AB40" i="2"/>
  <c r="AI57" i="2"/>
  <c r="W103" i="2"/>
  <c r="Y42" i="2"/>
  <c r="T55" i="2"/>
  <c r="L20" i="2"/>
  <c r="AM48" i="2"/>
  <c r="AD17" i="2"/>
  <c r="F78" i="2"/>
  <c r="O11" i="2"/>
  <c r="Z19" i="2"/>
  <c r="AM30" i="2"/>
  <c r="H48" i="2"/>
  <c r="Q73" i="2"/>
  <c r="AQ34" i="2"/>
  <c r="F51" i="2"/>
  <c r="J58" i="2"/>
  <c r="L74" i="2"/>
  <c r="AQ103" i="2"/>
  <c r="AI38" i="2"/>
  <c r="AK12" i="2"/>
  <c r="F77" i="2"/>
  <c r="Q43" i="2"/>
  <c r="U17" i="2"/>
  <c r="S24" i="2"/>
  <c r="T34" i="2"/>
  <c r="AD41" i="2"/>
  <c r="AE51" i="2"/>
  <c r="AI58" i="2"/>
  <c r="AO74" i="2"/>
  <c r="AM110" i="2"/>
  <c r="AN83" i="2"/>
  <c r="F98" i="2"/>
  <c r="L110" i="2"/>
  <c r="X152" i="2"/>
  <c r="AK83" i="2"/>
  <c r="AK94" i="2"/>
  <c r="AQ78" i="2"/>
  <c r="S46" i="2"/>
  <c r="AO17" i="2"/>
  <c r="AM24" i="2"/>
  <c r="AN34" i="2"/>
  <c r="F42" i="2"/>
  <c r="I53" i="2"/>
  <c r="M59" i="2"/>
  <c r="Q76" i="2"/>
  <c r="AT119" i="2"/>
  <c r="R84" i="2"/>
  <c r="Z98" i="2"/>
  <c r="AF110" i="2"/>
  <c r="AG156" i="2"/>
  <c r="O84" i="2"/>
  <c r="O98" i="2"/>
  <c r="Q110" i="2"/>
  <c r="S155" i="2"/>
  <c r="AF84" i="2"/>
  <c r="AF98" i="2"/>
  <c r="AO79" i="2"/>
  <c r="AI46" i="2"/>
  <c r="AS17" i="2"/>
  <c r="AQ24" i="2"/>
  <c r="AR34" i="2"/>
  <c r="J42" i="2"/>
  <c r="M53" i="2"/>
  <c r="Q59" i="2"/>
  <c r="U76" i="2"/>
  <c r="Z120" i="2"/>
  <c r="V84" i="2"/>
  <c r="AD98" i="2"/>
  <c r="AJ110" i="2"/>
  <c r="X158" i="2"/>
  <c r="S84" i="2"/>
  <c r="AI98" i="2"/>
  <c r="P73" i="2"/>
  <c r="K13" i="2"/>
  <c r="Q24" i="2"/>
  <c r="AK56" i="2"/>
  <c r="AG41" i="2"/>
  <c r="AT60" i="2"/>
  <c r="H30" i="2"/>
  <c r="I260" i="2"/>
  <c r="AF73" i="2"/>
  <c r="V13" i="2"/>
  <c r="V24" i="2"/>
  <c r="P41" i="2"/>
  <c r="Y58" i="2"/>
  <c r="E111" i="2"/>
  <c r="M43" i="2"/>
  <c r="AJ55" i="2"/>
  <c r="K21" i="2"/>
  <c r="Z53" i="2"/>
  <c r="AJ20" i="2"/>
  <c r="AG98" i="2"/>
  <c r="AJ11" i="2"/>
  <c r="H20" i="2"/>
  <c r="AD33" i="2"/>
  <c r="AN48" i="2"/>
  <c r="G74" i="2"/>
  <c r="AE35" i="2"/>
  <c r="V51" i="2"/>
  <c r="Z58" i="2"/>
  <c r="AB74" i="2"/>
  <c r="M109" i="2"/>
  <c r="Y40" i="2"/>
  <c r="I13" i="2"/>
  <c r="K78" i="2"/>
  <c r="AQ45" i="2"/>
  <c r="AK17" i="2"/>
  <c r="AI24" i="2"/>
  <c r="AJ34" i="2"/>
  <c r="AT41" i="2"/>
  <c r="E53" i="2"/>
  <c r="I59" i="2"/>
  <c r="M76" i="2"/>
  <c r="Y119" i="2"/>
  <c r="N84" i="2"/>
  <c r="V98" i="2"/>
  <c r="AB110" i="2"/>
  <c r="L156" i="2"/>
  <c r="K84" i="2"/>
  <c r="AA98" i="2"/>
  <c r="AQ83" i="2"/>
  <c r="Q10" i="2"/>
  <c r="M18" i="2"/>
  <c r="M26" i="2"/>
  <c r="P35" i="2"/>
  <c r="V42" i="2"/>
  <c r="Y53" i="2"/>
  <c r="AC59" i="2"/>
  <c r="AG76" i="2"/>
  <c r="AB123" i="2"/>
  <c r="AH84" i="2"/>
  <c r="AP98" i="2"/>
  <c r="F111" i="2"/>
  <c r="X160" i="2"/>
  <c r="AE84" i="2"/>
  <c r="AE98" i="2"/>
  <c r="AI21" i="2"/>
  <c r="H12" i="2"/>
  <c r="AT33" i="2"/>
  <c r="W74" i="2"/>
  <c r="AD51" i="2"/>
  <c r="AJ74" i="2"/>
  <c r="AO40" i="2"/>
  <c r="AQ21" i="2"/>
  <c r="T23" i="2"/>
  <c r="N12" i="2"/>
  <c r="AQ28" i="2"/>
  <c r="N46" i="2"/>
  <c r="O70" i="2"/>
  <c r="AM33" i="2"/>
  <c r="Y48" i="2"/>
  <c r="AK258" i="2"/>
  <c r="O28" i="2"/>
  <c r="H69" i="2"/>
  <c r="Y35" i="2"/>
  <c r="AI11" i="2"/>
  <c r="P14" i="2"/>
  <c r="AC23" i="2"/>
  <c r="V37" i="2"/>
  <c r="J197" i="2"/>
  <c r="AH152" i="2"/>
  <c r="AK254" i="2"/>
  <c r="Y212" i="2"/>
  <c r="Z137" i="2"/>
  <c r="S175" i="2"/>
  <c r="AL136" i="2"/>
  <c r="AJ195" i="2"/>
  <c r="W195" i="2"/>
  <c r="AL271" i="2"/>
  <c r="I36" i="2"/>
  <c r="X77" i="2"/>
  <c r="Z28" i="2"/>
  <c r="E36" i="2"/>
  <c r="V14" i="2"/>
  <c r="AD37" i="2"/>
  <c r="E89" i="2"/>
  <c r="V54" i="2"/>
  <c r="W41" i="2"/>
  <c r="AL57" i="2"/>
  <c r="AH17" i="2"/>
  <c r="X43" i="2"/>
  <c r="AF254" i="2"/>
  <c r="AL56" i="2"/>
  <c r="AQ92" i="2"/>
  <c r="Y11" i="2"/>
  <c r="AM41" i="2"/>
  <c r="AB58" i="2"/>
  <c r="AM17" i="2"/>
  <c r="H27" i="2"/>
  <c r="V35" i="2"/>
  <c r="T53" i="2"/>
  <c r="U42" i="2"/>
  <c r="AD27" i="2"/>
  <c r="AE30" i="2"/>
  <c r="I73" i="2"/>
  <c r="AS48" i="2"/>
  <c r="AP18" i="2"/>
  <c r="U46" i="2"/>
  <c r="AB14" i="2"/>
  <c r="AH74" i="2"/>
  <c r="AF10" i="2"/>
  <c r="AQ18" i="2"/>
  <c r="G30" i="2"/>
  <c r="V46" i="2"/>
  <c r="W70" i="2"/>
  <c r="K34" i="2"/>
  <c r="AC48" i="2"/>
  <c r="AJ57" i="2"/>
  <c r="AL73" i="2"/>
  <c r="U102" i="2"/>
  <c r="AQ37" i="2"/>
  <c r="U12" i="2"/>
  <c r="P76" i="2"/>
  <c r="AK41" i="2"/>
  <c r="E17" i="2"/>
  <c r="AQ23" i="2"/>
  <c r="AR33" i="2"/>
  <c r="N41" i="2"/>
  <c r="O51" i="2"/>
  <c r="S58" i="2"/>
  <c r="Y74" i="2"/>
  <c r="Q109" i="2"/>
  <c r="X83" i="2"/>
  <c r="AF94" i="2"/>
  <c r="AL109" i="2"/>
  <c r="O138" i="2"/>
  <c r="U83" i="2"/>
  <c r="U94" i="2"/>
  <c r="N77" i="2"/>
  <c r="AG43" i="2"/>
  <c r="Y17" i="2"/>
  <c r="W24" i="2"/>
  <c r="X34" i="2"/>
  <c r="AH41" i="2"/>
  <c r="AI51" i="2"/>
  <c r="AM58" i="2"/>
  <c r="AS74" i="2"/>
  <c r="M111" i="2"/>
  <c r="AR83" i="2"/>
  <c r="J98" i="2"/>
  <c r="P110" i="2"/>
  <c r="AM152" i="2"/>
  <c r="AO83" i="2"/>
  <c r="AO94" i="2"/>
  <c r="AH159" i="2"/>
  <c r="AD19" i="2"/>
  <c r="P28" i="2"/>
  <c r="Q69" i="2"/>
  <c r="E48" i="2"/>
  <c r="N73" i="2"/>
  <c r="AI36" i="2"/>
  <c r="R16" i="2"/>
  <c r="L10" i="2"/>
  <c r="F10" i="2"/>
  <c r="AR27" i="2"/>
  <c r="AF43" i="2"/>
  <c r="AK60" i="2"/>
  <c r="L30" i="2"/>
  <c r="W46" i="2"/>
  <c r="AP56" i="2"/>
  <c r="L26" i="2"/>
  <c r="H58" i="2"/>
  <c r="AT27" i="2"/>
  <c r="N14" i="2"/>
  <c r="R13" i="2"/>
  <c r="AB21" i="2"/>
  <c r="AL35" i="2"/>
  <c r="I54" i="2"/>
  <c r="Y77" i="2"/>
  <c r="G38" i="2"/>
  <c r="AB53" i="2"/>
  <c r="AF59" i="2"/>
  <c r="AJ76" i="2"/>
  <c r="F122" i="2"/>
  <c r="AK42" i="2"/>
  <c r="M14" i="2"/>
  <c r="G94" i="2"/>
  <c r="AC11" i="2"/>
  <c r="AO18" i="2"/>
  <c r="AO26" i="2"/>
  <c r="AR35" i="2"/>
  <c r="F43" i="2"/>
  <c r="K54" i="2"/>
  <c r="O60" i="2"/>
  <c r="S77" i="2"/>
  <c r="F159" i="2"/>
  <c r="T85" i="2"/>
  <c r="AB99" i="2"/>
  <c r="AH111" i="2"/>
  <c r="AD198" i="2"/>
  <c r="Q85" i="2"/>
  <c r="AN57" i="2"/>
  <c r="AK102" i="2"/>
  <c r="Y12" i="2"/>
  <c r="Q19" i="2"/>
  <c r="Q27" i="2"/>
  <c r="X36" i="2"/>
  <c r="Z43" i="2"/>
  <c r="AE54" i="2"/>
  <c r="AI60" i="2"/>
  <c r="O78" i="2"/>
  <c r="AD77" i="2"/>
  <c r="AN85" i="2"/>
  <c r="F102" i="2"/>
  <c r="J119" i="2"/>
  <c r="R278" i="2"/>
  <c r="AK85" i="2"/>
  <c r="AK99" i="2"/>
  <c r="AM111" i="2"/>
  <c r="U212" i="2"/>
  <c r="L89" i="2"/>
  <c r="F58" i="2"/>
  <c r="AA103" i="2"/>
  <c r="AG12" i="2"/>
  <c r="U19" i="2"/>
  <c r="U27" i="2"/>
  <c r="AB36" i="2"/>
  <c r="AD43" i="2"/>
  <c r="AI54" i="2"/>
  <c r="AM60" i="2"/>
  <c r="AE78" i="2"/>
  <c r="AH77" i="2"/>
  <c r="AR85" i="2"/>
  <c r="J102" i="2"/>
  <c r="P119" i="2"/>
  <c r="AA77" i="2"/>
  <c r="AO85" i="2"/>
  <c r="AT58" i="2"/>
  <c r="J16" i="2"/>
  <c r="AQ10" i="2"/>
  <c r="W30" i="2"/>
  <c r="AM70" i="2"/>
  <c r="AO48" i="2"/>
  <c r="AT73" i="2"/>
  <c r="S38" i="2"/>
  <c r="AT19" i="2"/>
  <c r="AP16" i="2"/>
  <c r="J11" i="2"/>
  <c r="V28" i="2"/>
  <c r="Z45" i="2"/>
  <c r="Y69" i="2"/>
  <c r="K33" i="2"/>
  <c r="I48" i="2"/>
  <c r="P57" i="2"/>
  <c r="K27" i="2"/>
  <c r="AD59" i="2"/>
  <c r="I33" i="2"/>
  <c r="AJ10" i="2"/>
  <c r="AM13" i="2"/>
  <c r="H23" i="2"/>
  <c r="Z36" i="2"/>
  <c r="AO54" i="2"/>
  <c r="AG82" i="2"/>
  <c r="AM38" i="2"/>
  <c r="AR53" i="2"/>
  <c r="F60" i="2"/>
  <c r="J77" i="2"/>
  <c r="H133" i="2"/>
  <c r="Y43" i="2"/>
  <c r="AF57" i="2"/>
  <c r="E102" i="2"/>
  <c r="Q12" i="2"/>
  <c r="M19" i="2"/>
  <c r="M27" i="2"/>
  <c r="T36" i="2"/>
  <c r="V43" i="2"/>
  <c r="AA54" i="2"/>
  <c r="AE60" i="2"/>
  <c r="AS77" i="2"/>
  <c r="Z77" i="2"/>
  <c r="AJ85" i="2"/>
  <c r="AR99" i="2"/>
  <c r="E119" i="2"/>
  <c r="Z257" i="2"/>
  <c r="AG85" i="2"/>
  <c r="AD58" i="2"/>
  <c r="AC109" i="2"/>
  <c r="M13" i="2"/>
  <c r="AG19" i="2"/>
  <c r="AG27" i="2"/>
  <c r="AN36" i="2"/>
  <c r="AP43" i="2"/>
  <c r="E55" i="2"/>
  <c r="K69" i="2"/>
  <c r="AS79" i="2"/>
  <c r="AT77" i="2"/>
  <c r="N89" i="2"/>
  <c r="V102" i="2"/>
  <c r="AF119" i="2"/>
  <c r="AM77" i="2"/>
  <c r="K89" i="2"/>
  <c r="AS35" i="2"/>
  <c r="AK45" i="2"/>
  <c r="N16" i="2"/>
  <c r="H41" i="2"/>
  <c r="O110" i="2"/>
  <c r="AF55" i="2"/>
  <c r="Q84" i="2"/>
  <c r="U10" i="2"/>
  <c r="Q36" i="2"/>
  <c r="Q46" i="2"/>
  <c r="S16" i="2"/>
  <c r="AP34" i="2"/>
  <c r="K53" i="2"/>
  <c r="AA76" i="2"/>
  <c r="K37" i="2"/>
  <c r="H53" i="2"/>
  <c r="W276" i="2"/>
  <c r="AG36" i="2"/>
  <c r="Q79" i="2"/>
  <c r="AO46" i="2"/>
  <c r="AI15" i="2"/>
  <c r="X16" i="2"/>
  <c r="AD26" i="2"/>
  <c r="X41" i="2"/>
  <c r="AG58" i="2"/>
  <c r="AK111" i="2"/>
  <c r="U43" i="2"/>
  <c r="AN55" i="2"/>
  <c r="AP69" i="2"/>
  <c r="G85" i="2"/>
  <c r="AQ33" i="2"/>
  <c r="AC10" i="2"/>
  <c r="V69" i="2"/>
  <c r="AR30" i="2"/>
  <c r="M15" i="2"/>
  <c r="E21" i="2"/>
  <c r="E30" i="2"/>
  <c r="T38" i="2"/>
  <c r="T46" i="2"/>
  <c r="W56" i="2"/>
  <c r="AC70" i="2"/>
  <c r="S90" i="2"/>
  <c r="AD79" i="2"/>
  <c r="AF90" i="2"/>
  <c r="AN103" i="2"/>
  <c r="AJ122" i="2"/>
  <c r="W79" i="2"/>
  <c r="AC90" i="2"/>
  <c r="T70" i="2"/>
  <c r="AM34" i="2"/>
  <c r="AG15" i="2"/>
  <c r="Y21" i="2"/>
  <c r="Y30" i="2"/>
  <c r="AN38" i="2"/>
  <c r="AN46" i="2"/>
  <c r="AQ56" i="2"/>
  <c r="G73" i="2"/>
  <c r="AA94" i="2"/>
  <c r="F82" i="2"/>
  <c r="L92" i="2"/>
  <c r="T108" i="2"/>
  <c r="AD123" i="2"/>
  <c r="AQ79" i="2"/>
  <c r="E92" i="2"/>
  <c r="E108" i="2"/>
  <c r="J123" i="2"/>
  <c r="T82" i="2"/>
  <c r="V92" i="2"/>
  <c r="AB70" i="2"/>
  <c r="S35" i="2"/>
  <c r="AK15" i="2"/>
  <c r="AC21" i="2"/>
  <c r="AC30" i="2"/>
  <c r="AR38" i="2"/>
  <c r="AR46" i="2"/>
  <c r="E57" i="2"/>
  <c r="K73" i="2"/>
  <c r="AQ94" i="2"/>
  <c r="J82" i="2"/>
  <c r="P92" i="2"/>
  <c r="X108" i="2"/>
  <c r="AK123" i="2"/>
  <c r="G82" i="2"/>
  <c r="I92" i="2"/>
  <c r="Y256" i="2"/>
  <c r="AI158" i="2"/>
  <c r="Q254" i="2"/>
  <c r="V257" i="2"/>
  <c r="K212" i="2"/>
  <c r="O197" i="2"/>
  <c r="AL152" i="2"/>
  <c r="F255" i="2"/>
  <c r="AD212" i="2"/>
  <c r="G16" i="2"/>
  <c r="O43" i="2"/>
  <c r="AS175" i="2"/>
  <c r="Q45" i="2"/>
  <c r="AH70" i="2"/>
  <c r="AA18" i="2"/>
  <c r="AP45" i="2"/>
  <c r="W33" i="2"/>
  <c r="X57" i="2"/>
  <c r="AN58" i="2"/>
  <c r="T10" i="2"/>
  <c r="AM21" i="2"/>
  <c r="Y54" i="2"/>
  <c r="W38" i="2"/>
  <c r="AN59" i="2"/>
  <c r="U123" i="2"/>
  <c r="U14" i="2"/>
  <c r="N59" i="2"/>
  <c r="Z10" i="2"/>
  <c r="AR21" i="2"/>
  <c r="O13" i="2"/>
  <c r="AI53" i="2"/>
  <c r="X59" i="2"/>
  <c r="E14" i="2"/>
  <c r="AE13" i="2"/>
  <c r="AH38" i="2"/>
  <c r="U98" i="2"/>
  <c r="AT54" i="2"/>
  <c r="J24" i="2"/>
  <c r="AB56" i="2"/>
  <c r="O26" i="2"/>
  <c r="P12" i="2"/>
  <c r="AN12" i="2"/>
  <c r="G21" i="2"/>
  <c r="F35" i="2"/>
  <c r="S53" i="2"/>
  <c r="AI76" i="2"/>
  <c r="S37" i="2"/>
  <c r="L53" i="2"/>
  <c r="P59" i="2"/>
  <c r="T76" i="2"/>
  <c r="T119" i="2"/>
  <c r="AS41" i="2"/>
  <c r="AO13" i="2"/>
  <c r="I89" i="2"/>
  <c r="AO10" i="2"/>
  <c r="Y18" i="2"/>
  <c r="Y26" i="2"/>
  <c r="AB35" i="2"/>
  <c r="AH42" i="2"/>
  <c r="AK53" i="2"/>
  <c r="AO59" i="2"/>
  <c r="AS76" i="2"/>
  <c r="L136" i="2"/>
  <c r="AT84" i="2"/>
  <c r="L99" i="2"/>
  <c r="R111" i="2"/>
  <c r="E176" i="2"/>
  <c r="AQ84" i="2"/>
  <c r="Q99" i="2"/>
  <c r="AM94" i="2"/>
  <c r="AK11" i="2"/>
  <c r="AS18" i="2"/>
  <c r="AS26" i="2"/>
  <c r="H36" i="2"/>
  <c r="J43" i="2"/>
  <c r="O54" i="2"/>
  <c r="S60" i="2"/>
  <c r="W77" i="2"/>
  <c r="N175" i="2"/>
  <c r="X85" i="2"/>
  <c r="AF99" i="2"/>
  <c r="AL111" i="2"/>
  <c r="O212" i="2"/>
  <c r="U85" i="2"/>
  <c r="AF27" i="2"/>
  <c r="M34" i="2"/>
  <c r="F14" i="2"/>
  <c r="AP36" i="2"/>
  <c r="M84" i="2"/>
  <c r="J54" i="2"/>
  <c r="R77" i="2"/>
  <c r="AO43" i="2"/>
  <c r="AQ27" i="2"/>
  <c r="AS34" i="2"/>
  <c r="K14" i="2"/>
  <c r="V33" i="2"/>
  <c r="AF48" i="2"/>
  <c r="AO73" i="2"/>
  <c r="W35" i="2"/>
  <c r="R51" i="2"/>
  <c r="Q260" i="2"/>
  <c r="AK33" i="2"/>
  <c r="F74" i="2"/>
  <c r="W40" i="2"/>
  <c r="AA13" i="2"/>
  <c r="T15" i="2"/>
  <c r="AB24" i="2"/>
  <c r="AP38" i="2"/>
  <c r="K57" i="2"/>
  <c r="K99" i="2"/>
  <c r="E42" i="2"/>
  <c r="H55" i="2"/>
  <c r="J69" i="2"/>
  <c r="E82" i="2"/>
  <c r="X30" i="2"/>
  <c r="AQ46" i="2"/>
  <c r="AR59" i="2"/>
  <c r="G124" i="2"/>
  <c r="Y14" i="2"/>
  <c r="Q20" i="2"/>
  <c r="Q28" i="2"/>
  <c r="AB37" i="2"/>
  <c r="AB45" i="2"/>
  <c r="AG55" i="2"/>
  <c r="AM69" i="2"/>
  <c r="U84" i="2"/>
  <c r="AF78" i="2"/>
  <c r="AP89" i="2"/>
  <c r="H103" i="2"/>
  <c r="AA120" i="2"/>
  <c r="Y78" i="2"/>
  <c r="AM89" i="2"/>
  <c r="AP60" i="2"/>
  <c r="G257" i="2"/>
  <c r="AS14" i="2"/>
  <c r="AK20" i="2"/>
  <c r="AK28" i="2"/>
  <c r="H38" i="2"/>
  <c r="H46" i="2"/>
  <c r="K56" i="2"/>
  <c r="Q70" i="2"/>
  <c r="M89" i="2"/>
  <c r="R79" i="2"/>
  <c r="T90" i="2"/>
  <c r="AB103" i="2"/>
  <c r="O122" i="2"/>
  <c r="AS78" i="2"/>
  <c r="Q90" i="2"/>
  <c r="Q103" i="2"/>
  <c r="AM120" i="2"/>
  <c r="AB79" i="2"/>
  <c r="AH90" i="2"/>
  <c r="F69" i="2"/>
  <c r="P30" i="2"/>
  <c r="E15" i="2"/>
  <c r="AO20" i="2"/>
  <c r="AO28" i="2"/>
  <c r="L38" i="2"/>
  <c r="L46" i="2"/>
  <c r="O56" i="2"/>
  <c r="U70" i="2"/>
  <c r="AC89" i="2"/>
  <c r="V79" i="2"/>
  <c r="X90" i="2"/>
  <c r="AF103" i="2"/>
  <c r="V122" i="2"/>
  <c r="O79" i="2"/>
  <c r="U90" i="2"/>
  <c r="E33" i="2"/>
  <c r="AC38" i="2"/>
  <c r="J15" i="2"/>
  <c r="Z38" i="2"/>
  <c r="S94" i="2"/>
  <c r="AP54" i="2"/>
  <c r="Y79" i="2"/>
  <c r="AA46" i="2"/>
  <c r="U33" i="2"/>
  <c r="G40" i="2"/>
  <c r="O15" i="2"/>
  <c r="J34" i="2"/>
  <c r="U51" i="2"/>
  <c r="AE74" i="2"/>
  <c r="O36" i="2"/>
  <c r="AH51" i="2"/>
  <c r="AS265" i="2"/>
  <c r="M35" i="2"/>
  <c r="Z76" i="2"/>
  <c r="AI43" i="2"/>
  <c r="AE14" i="2"/>
  <c r="AP15" i="2"/>
  <c r="H26" i="2"/>
  <c r="AJ40" i="2"/>
  <c r="AQ57" i="2"/>
  <c r="AI108" i="2"/>
  <c r="AG42" i="2"/>
  <c r="X55" i="2"/>
  <c r="Z69" i="2"/>
  <c r="AA83" i="2"/>
  <c r="G33" i="2"/>
  <c r="M10" i="2"/>
  <c r="AH60" i="2"/>
  <c r="U194" i="2"/>
  <c r="AO14" i="2"/>
  <c r="AG20" i="2"/>
  <c r="AG28" i="2"/>
  <c r="AR37" i="2"/>
  <c r="AR45" i="2"/>
  <c r="G56" i="2"/>
  <c r="M70" i="2"/>
  <c r="AQ85" i="2"/>
  <c r="N79" i="2"/>
  <c r="P90" i="2"/>
  <c r="X103" i="2"/>
  <c r="H122" i="2"/>
  <c r="AO78" i="2"/>
  <c r="M90" i="2"/>
  <c r="AD69" i="2"/>
  <c r="S33" i="2"/>
  <c r="Q15" i="2"/>
  <c r="I21" i="2"/>
  <c r="I30" i="2"/>
  <c r="X38" i="2"/>
  <c r="X46" i="2"/>
  <c r="AA56" i="2"/>
  <c r="AG70" i="2"/>
  <c r="AI90" i="2"/>
  <c r="AH79" i="2"/>
  <c r="AJ90" i="2"/>
  <c r="AR103" i="2"/>
  <c r="AQ122" i="2"/>
  <c r="AA79" i="2"/>
  <c r="AG90" i="2"/>
  <c r="P54" i="2"/>
  <c r="H10" i="2"/>
  <c r="S20" i="2"/>
  <c r="M51" i="2"/>
  <c r="G36" i="2"/>
  <c r="AH58" i="2"/>
  <c r="AS109" i="2"/>
  <c r="Q13" i="2"/>
  <c r="AF54" i="2"/>
  <c r="X10" i="2"/>
  <c r="X20" i="2"/>
  <c r="AT37" i="2"/>
  <c r="M56" i="2"/>
  <c r="AA90" i="2"/>
  <c r="I41" i="2"/>
  <c r="AD54" i="2"/>
  <c r="AM16" i="2"/>
  <c r="AM43" i="2"/>
  <c r="AR10" i="2"/>
  <c r="J70" i="2"/>
  <c r="K10" i="2"/>
  <c r="V18" i="2"/>
  <c r="AA28" i="2"/>
  <c r="AI123" i="2"/>
  <c r="AO174" i="2"/>
  <c r="AR277" i="2"/>
  <c r="J174" i="2"/>
  <c r="AE254" i="2"/>
  <c r="AO256" i="2"/>
  <c r="AM158" i="2"/>
  <c r="W254" i="2"/>
  <c r="AH257" i="2"/>
  <c r="AL21" i="2"/>
  <c r="X54" i="2"/>
  <c r="AS258" i="2"/>
  <c r="X69" i="2"/>
  <c r="AT11" i="2"/>
  <c r="AH23" i="2"/>
  <c r="AM55" i="2"/>
  <c r="AK40" i="2"/>
  <c r="AF13" i="2"/>
  <c r="AD119" i="2"/>
  <c r="O18" i="2"/>
  <c r="AM27" i="2"/>
  <c r="AC60" i="2"/>
  <c r="O46" i="2"/>
  <c r="AN70" i="2"/>
  <c r="AQ35" i="2"/>
  <c r="J14" i="2"/>
  <c r="F123" i="2"/>
  <c r="Z18" i="2"/>
  <c r="AF24" i="2"/>
  <c r="G13" i="2"/>
  <c r="I77" i="2"/>
  <c r="AB76" i="2"/>
  <c r="AP24" i="2"/>
  <c r="L13" i="2"/>
  <c r="AT46" i="2"/>
  <c r="AI34" i="2"/>
  <c r="AA259" i="2"/>
  <c r="V30" i="2"/>
  <c r="AD70" i="2"/>
  <c r="AG37" i="2"/>
  <c r="AH12" i="2"/>
  <c r="AL14" i="2"/>
  <c r="F24" i="2"/>
  <c r="J38" i="2"/>
  <c r="U56" i="2"/>
  <c r="G92" i="2"/>
  <c r="Q41" i="2"/>
  <c r="AH54" i="2"/>
  <c r="AL60" i="2"/>
  <c r="AA78" i="2"/>
  <c r="N198" i="2"/>
  <c r="K46" i="2"/>
  <c r="L59" i="2"/>
  <c r="AO111" i="2"/>
  <c r="AK13" i="2"/>
  <c r="AS19" i="2"/>
  <c r="AS27" i="2"/>
  <c r="L37" i="2"/>
  <c r="L45" i="2"/>
  <c r="Q55" i="2"/>
  <c r="W69" i="2"/>
  <c r="AO82" i="2"/>
  <c r="P78" i="2"/>
  <c r="Z89" i="2"/>
  <c r="AH102" i="2"/>
  <c r="F120" i="2"/>
  <c r="I78" i="2"/>
  <c r="W89" i="2"/>
  <c r="J60" i="2"/>
  <c r="M137" i="2"/>
  <c r="AC14" i="2"/>
  <c r="U20" i="2"/>
  <c r="U28" i="2"/>
  <c r="AF37" i="2"/>
  <c r="AF45" i="2"/>
  <c r="AK55" i="2"/>
  <c r="AQ69" i="2"/>
  <c r="AK84" i="2"/>
  <c r="AJ78" i="2"/>
  <c r="AT89" i="2"/>
  <c r="L103" i="2"/>
  <c r="AF120" i="2"/>
  <c r="AC78" i="2"/>
  <c r="AQ89" i="2"/>
  <c r="G43" i="2"/>
  <c r="X60" i="2"/>
  <c r="K18" i="2"/>
  <c r="R45" i="2"/>
  <c r="AJ30" i="2"/>
  <c r="L57" i="2"/>
  <c r="I98" i="2"/>
  <c r="AO11" i="2"/>
  <c r="W43" i="2"/>
  <c r="AB69" i="2"/>
  <c r="P18" i="2"/>
  <c r="R36" i="2"/>
  <c r="AG54" i="2"/>
  <c r="U79" i="2"/>
  <c r="AE38" i="2"/>
  <c r="AN53" i="2"/>
  <c r="AB12" i="2"/>
  <c r="AI40" i="2"/>
  <c r="U109" i="2"/>
  <c r="P56" i="2"/>
  <c r="AF17" i="2"/>
  <c r="W17" i="2"/>
  <c r="AB27" i="2"/>
  <c r="H43" i="2"/>
  <c r="M60" i="2"/>
  <c r="T160" i="2"/>
  <c r="AM45" i="2"/>
  <c r="AD56" i="2"/>
  <c r="AF70" i="2"/>
  <c r="K92" i="2"/>
  <c r="AA35" i="2"/>
  <c r="Q11" i="2"/>
  <c r="AR70" i="2"/>
  <c r="K36" i="2"/>
  <c r="AS15" i="2"/>
  <c r="AK21" i="2"/>
  <c r="AK30" i="2"/>
  <c r="J40" i="2"/>
  <c r="J48" i="2"/>
  <c r="M57" i="2"/>
  <c r="S73" i="2"/>
  <c r="AC98" i="2"/>
  <c r="R82" i="2"/>
  <c r="X92" i="2"/>
  <c r="AF108" i="2"/>
  <c r="K124" i="2"/>
  <c r="O82" i="2"/>
  <c r="Q92" i="2"/>
  <c r="AP73" i="2"/>
  <c r="K38" i="2"/>
  <c r="U16" i="2"/>
  <c r="O23" i="2"/>
  <c r="P33" i="2"/>
  <c r="AD40" i="2"/>
  <c r="AD48" i="2"/>
  <c r="AG57" i="2"/>
  <c r="AM73" i="2"/>
  <c r="Y102" i="2"/>
  <c r="AL82" i="2"/>
  <c r="AR92" i="2"/>
  <c r="J109" i="2"/>
  <c r="AM133" i="2"/>
  <c r="AI82" i="2"/>
  <c r="AK92" i="2"/>
  <c r="AK108" i="2"/>
  <c r="AM124" i="2"/>
  <c r="J83" i="2"/>
  <c r="J94" i="2"/>
  <c r="H74" i="2"/>
  <c r="AA38" i="2"/>
  <c r="Y16" i="2"/>
  <c r="S23" i="2"/>
  <c r="T33" i="2"/>
  <c r="AH40" i="2"/>
  <c r="AH48" i="2"/>
  <c r="AK57" i="2"/>
  <c r="AQ73" i="2"/>
  <c r="AO102" i="2"/>
  <c r="AP82" i="2"/>
  <c r="H94" i="2"/>
  <c r="N109" i="2"/>
  <c r="M136" i="2"/>
  <c r="AM82" i="2"/>
  <c r="AO92" i="2"/>
  <c r="G48" i="2"/>
  <c r="AD76" i="2"/>
  <c r="O19" i="2"/>
  <c r="AL46" i="2"/>
  <c r="AA34" i="2"/>
  <c r="AR57" i="2"/>
  <c r="K103" i="2"/>
  <c r="AC12" i="2"/>
  <c r="W48" i="2"/>
  <c r="L77" i="2"/>
  <c r="T19" i="2"/>
  <c r="N37" i="2"/>
  <c r="W55" i="2"/>
  <c r="AS84" i="2"/>
  <c r="U40" i="2"/>
  <c r="N54" i="2"/>
  <c r="AJ14" i="2"/>
  <c r="S42" i="2"/>
  <c r="AJ133" i="2"/>
  <c r="R59" i="2"/>
  <c r="AJ18" i="2"/>
  <c r="AR17" i="2"/>
  <c r="F28" i="2"/>
  <c r="AN43" i="2"/>
  <c r="AS60" i="2"/>
  <c r="T30" i="2"/>
  <c r="AE46" i="2"/>
  <c r="AT56" i="2"/>
  <c r="F73" i="2"/>
  <c r="W94" i="2"/>
  <c r="S36" i="2"/>
  <c r="AG11" i="2"/>
  <c r="AH73" i="2"/>
  <c r="AI37" i="2"/>
  <c r="Q16" i="2"/>
  <c r="K23" i="2"/>
  <c r="L33" i="2"/>
  <c r="Z40" i="2"/>
  <c r="Z48" i="2"/>
  <c r="AC57" i="2"/>
  <c r="AI73" i="2"/>
  <c r="I102" i="2"/>
  <c r="AH82" i="2"/>
  <c r="AN92" i="2"/>
  <c r="F109" i="2"/>
  <c r="X133" i="2"/>
  <c r="AE82" i="2"/>
  <c r="AG92" i="2"/>
  <c r="AF74" i="2"/>
  <c r="AG40" i="2"/>
  <c r="AK16" i="2"/>
  <c r="AE23" i="2"/>
  <c r="AF33" i="2"/>
  <c r="AT40" i="2"/>
  <c r="AT48" i="2"/>
  <c r="G58" i="2"/>
  <c r="M74" i="2"/>
  <c r="K108" i="2"/>
  <c r="L83" i="2"/>
  <c r="T94" i="2"/>
  <c r="Z109" i="2"/>
  <c r="N137" i="2"/>
  <c r="I83" i="2"/>
  <c r="I94" i="2"/>
  <c r="P77" i="2"/>
  <c r="N15" i="2"/>
  <c r="S26" i="2"/>
  <c r="Q58" i="2"/>
  <c r="E43" i="2"/>
  <c r="AH69" i="2"/>
  <c r="AA33" i="2"/>
  <c r="G276" i="2"/>
  <c r="AN77" i="2"/>
  <c r="X15" i="2"/>
  <c r="X26" i="2"/>
  <c r="L42" i="2"/>
  <c r="O59" i="2"/>
  <c r="N123" i="2"/>
  <c r="AS43" i="2"/>
  <c r="J56" i="2"/>
  <c r="L23" i="2"/>
  <c r="F55" i="2"/>
  <c r="AJ23" i="2"/>
  <c r="AN10" i="2"/>
  <c r="S12" i="2"/>
  <c r="AD20" i="2"/>
  <c r="R34" i="2"/>
  <c r="AC51" i="2"/>
  <c r="AM74" i="2"/>
  <c r="W36" i="2"/>
  <c r="AL51" i="2"/>
  <c r="AP58" i="2"/>
  <c r="AR74" i="2"/>
  <c r="AI110" i="2"/>
  <c r="M41" i="2"/>
  <c r="Y13" i="2"/>
  <c r="K83" i="2"/>
  <c r="I10" i="2"/>
  <c r="I18" i="2"/>
  <c r="I26" i="2"/>
  <c r="L35" i="2"/>
  <c r="R42" i="2"/>
  <c r="U53" i="2"/>
  <c r="Y59" i="2"/>
  <c r="AC76" i="2"/>
  <c r="AP122" i="2"/>
  <c r="AD84" i="2"/>
  <c r="AL98" i="2"/>
  <c r="AR110" i="2"/>
  <c r="AL159" i="2"/>
  <c r="AA84" i="2"/>
  <c r="AQ98" i="2"/>
  <c r="AO89" i="2"/>
  <c r="E11" i="2"/>
  <c r="AC18" i="2"/>
  <c r="AC26" i="2"/>
  <c r="AF35" i="2"/>
  <c r="AL42" i="2"/>
  <c r="AO53" i="2"/>
  <c r="AS59" i="2"/>
  <c r="G77" i="2"/>
  <c r="AA137" i="2"/>
  <c r="H85" i="2"/>
  <c r="P99" i="2"/>
  <c r="V111" i="2"/>
  <c r="AI194" i="2"/>
  <c r="E85" i="2"/>
  <c r="E99" i="2"/>
  <c r="G111" i="2"/>
  <c r="N174" i="2"/>
  <c r="V85" i="2"/>
  <c r="V99" i="2"/>
  <c r="AE90" i="2"/>
  <c r="M11" i="2"/>
  <c r="AG18" i="2"/>
  <c r="AG26" i="2"/>
  <c r="AJ35" i="2"/>
  <c r="AP42" i="2"/>
  <c r="AS53" i="2"/>
  <c r="G60" i="2"/>
  <c r="K77" i="2"/>
  <c r="AO138" i="2"/>
  <c r="L85" i="2"/>
  <c r="T99" i="2"/>
  <c r="Z111" i="2"/>
  <c r="AG195" i="2"/>
  <c r="I85" i="2"/>
  <c r="AH45" i="2"/>
  <c r="O33" i="2"/>
  <c r="T57" i="2"/>
  <c r="AO98" i="2"/>
  <c r="E12" i="2"/>
  <c r="M40" i="2"/>
  <c r="AA23" i="2"/>
  <c r="AP40" i="2"/>
  <c r="AS57" i="2"/>
  <c r="AE103" i="2"/>
  <c r="P94" i="2"/>
  <c r="AQ136" i="2"/>
  <c r="E94" i="2"/>
  <c r="M42" i="2"/>
  <c r="G24" i="2"/>
  <c r="R41" i="2"/>
  <c r="W58" i="2"/>
  <c r="AG109" i="2"/>
  <c r="AJ94" i="2"/>
  <c r="AC138" i="2"/>
  <c r="Y94" i="2"/>
  <c r="S137" i="2"/>
  <c r="AP94" i="2"/>
  <c r="AC42" i="2"/>
  <c r="K24" i="2"/>
  <c r="V41" i="2"/>
  <c r="AA58" i="2"/>
  <c r="G110" i="2"/>
  <c r="AN94" i="2"/>
  <c r="AR138" i="2"/>
  <c r="AS94" i="2"/>
  <c r="U108" i="2"/>
  <c r="AJ82" i="2"/>
  <c r="R73" i="2"/>
  <c r="I16" i="2"/>
  <c r="AS30" i="2"/>
  <c r="R48" i="2"/>
  <c r="AA73" i="2"/>
  <c r="Z82" i="2"/>
  <c r="AN108" i="2"/>
  <c r="W82" i="2"/>
  <c r="AJ70" i="2"/>
  <c r="AI35" i="2"/>
  <c r="AO15" i="2"/>
  <c r="AG21" i="2"/>
  <c r="AG30" i="2"/>
  <c r="F40" i="2"/>
  <c r="F48" i="2"/>
  <c r="I57" i="2"/>
  <c r="O73" i="2"/>
  <c r="M98" i="2"/>
  <c r="N82" i="2"/>
  <c r="T92" i="2"/>
  <c r="AB108" i="2"/>
  <c r="AR123" i="2"/>
  <c r="K82" i="2"/>
  <c r="M92" i="2"/>
  <c r="M108" i="2"/>
  <c r="Y123" i="2"/>
  <c r="AB82" i="2"/>
  <c r="AD92" i="2"/>
  <c r="Y108" i="2"/>
  <c r="AN82" i="2"/>
  <c r="AS103" i="2"/>
  <c r="F83" i="2"/>
  <c r="AQ111" i="2"/>
  <c r="P89" i="2"/>
  <c r="S111" i="2"/>
  <c r="V94" i="2"/>
  <c r="AG46" i="2"/>
  <c r="H28" i="2"/>
  <c r="G78" i="2"/>
  <c r="AA19" i="2"/>
  <c r="V20" i="2"/>
  <c r="AG51" i="2"/>
  <c r="J26" i="2"/>
  <c r="H56" i="2"/>
  <c r="O27" i="2"/>
  <c r="AI70" i="2"/>
  <c r="T54" i="2"/>
  <c r="Q119" i="2"/>
  <c r="AB89" i="2"/>
  <c r="S110" i="2"/>
  <c r="AK19" i="2"/>
  <c r="AR36" i="2"/>
  <c r="I55" i="2"/>
  <c r="I82" i="2"/>
  <c r="R89" i="2"/>
  <c r="AK119" i="2"/>
  <c r="O89" i="2"/>
  <c r="AJ77" i="2"/>
  <c r="AA45" i="2"/>
  <c r="AG17" i="2"/>
  <c r="AE24" i="2"/>
  <c r="AF34" i="2"/>
  <c r="AP41" i="2"/>
  <c r="AQ51" i="2"/>
  <c r="E59" i="2"/>
  <c r="I76" i="2"/>
  <c r="AS111" i="2"/>
  <c r="J84" i="2"/>
  <c r="R98" i="2"/>
  <c r="X110" i="2"/>
  <c r="AE155" i="2"/>
  <c r="G84" i="2"/>
  <c r="G98" i="2"/>
  <c r="I110" i="2"/>
  <c r="AC152" i="2"/>
  <c r="X84" i="2"/>
  <c r="X98" i="2"/>
  <c r="V119" i="2"/>
  <c r="AF89" i="2"/>
  <c r="AI111" i="2"/>
  <c r="AT122" i="2"/>
  <c r="AH137" i="2"/>
  <c r="AT94" i="2"/>
  <c r="AR133" i="2"/>
  <c r="L98" i="2"/>
  <c r="AO37" i="2"/>
  <c r="H14" i="2"/>
  <c r="U23" i="2"/>
  <c r="R37" i="2"/>
  <c r="AA55" i="2"/>
  <c r="G83" i="2"/>
  <c r="AN24" i="2"/>
  <c r="AE94" i="2"/>
  <c r="AA41" i="2"/>
  <c r="AN14" i="2"/>
  <c r="I24" i="2"/>
  <c r="N38" i="2"/>
  <c r="Y56" i="2"/>
  <c r="K90" i="2"/>
  <c r="AN27" i="2"/>
  <c r="I119" i="2"/>
  <c r="AC45" i="2"/>
  <c r="W15" i="2"/>
  <c r="AJ24" i="2"/>
  <c r="H40" i="2"/>
  <c r="W57" i="2"/>
  <c r="AK98" i="2"/>
  <c r="AP30" i="2"/>
  <c r="AD10" i="2"/>
  <c r="T122" i="2"/>
  <c r="J35" i="2"/>
  <c r="S70" i="2"/>
  <c r="AK38" i="2"/>
  <c r="E45" i="2"/>
  <c r="Z21" i="2"/>
  <c r="M54" i="2"/>
  <c r="AA15" i="2"/>
  <c r="W18" i="2"/>
  <c r="H18" i="2"/>
  <c r="F45" i="2"/>
  <c r="AM103" i="2"/>
  <c r="F12" i="2"/>
  <c r="AI138" i="2"/>
  <c r="P98" i="2"/>
  <c r="K45" i="2"/>
  <c r="AA24" i="2"/>
  <c r="AL41" i="2"/>
  <c r="AQ58" i="2"/>
  <c r="AC111" i="2"/>
  <c r="N98" i="2"/>
  <c r="K155" i="2"/>
  <c r="S98" i="2"/>
  <c r="G108" i="2"/>
  <c r="AO12" i="2"/>
  <c r="Y19" i="2"/>
  <c r="Y27" i="2"/>
  <c r="AF36" i="2"/>
  <c r="AH43" i="2"/>
  <c r="AM54" i="2"/>
  <c r="AQ60" i="2"/>
  <c r="M79" i="2"/>
  <c r="AL77" i="2"/>
  <c r="F89" i="2"/>
  <c r="N102" i="2"/>
  <c r="U119" i="2"/>
  <c r="AE77" i="2"/>
  <c r="AS85" i="2"/>
  <c r="AS99" i="2"/>
  <c r="F119" i="2"/>
  <c r="AH259" i="2"/>
  <c r="T89" i="2"/>
  <c r="AR84" i="2"/>
  <c r="O152" i="2"/>
  <c r="T98" i="2"/>
  <c r="AR152" i="2"/>
  <c r="U103" i="2"/>
  <c r="AF79" i="2"/>
  <c r="AM102" i="2"/>
  <c r="L84" i="2"/>
  <c r="AE20" i="2"/>
  <c r="AN18" i="2"/>
  <c r="O53" i="2"/>
  <c r="X27" i="2"/>
  <c r="AD57" i="2"/>
  <c r="J33" i="2"/>
  <c r="M73" i="2"/>
  <c r="AP74" i="2"/>
  <c r="AR15" i="2"/>
  <c r="AN40" i="2"/>
  <c r="AA11" i="2"/>
  <c r="AG103" i="2"/>
  <c r="AR79" i="2"/>
  <c r="AL69" i="2"/>
  <c r="U15" i="2"/>
  <c r="M30" i="2"/>
  <c r="AB46" i="2"/>
  <c r="AK70" i="2"/>
  <c r="AL79" i="2"/>
  <c r="H108" i="2"/>
  <c r="AE79" i="2"/>
  <c r="AT69" i="2"/>
  <c r="G34" i="2"/>
  <c r="Y15" i="2"/>
  <c r="Q21" i="2"/>
  <c r="Q30" i="2"/>
  <c r="AF38" i="2"/>
  <c r="AF46" i="2"/>
  <c r="AI56" i="2"/>
  <c r="AO70" i="2"/>
  <c r="AE92" i="2"/>
  <c r="AP79" i="2"/>
  <c r="AR90" i="2"/>
  <c r="L108" i="2"/>
  <c r="P123" i="2"/>
  <c r="AI79" i="2"/>
  <c r="AO90" i="2"/>
  <c r="AO103" i="2"/>
  <c r="AL122" i="2"/>
  <c r="L82" i="2"/>
  <c r="N92" i="2"/>
  <c r="AK103" i="2"/>
  <c r="H82" i="2"/>
  <c r="M103" i="2"/>
  <c r="P82" i="2"/>
  <c r="K111" i="2"/>
  <c r="Z85" i="2"/>
  <c r="AC110" i="2"/>
  <c r="AH85" i="2"/>
  <c r="I23" i="2"/>
  <c r="AL76" i="2"/>
  <c r="R19" i="2"/>
  <c r="AQ30" i="2"/>
  <c r="E73" i="2"/>
  <c r="K15" i="2"/>
  <c r="R55" i="2"/>
  <c r="T26" i="2"/>
  <c r="AR19" i="2"/>
  <c r="AR48" i="2"/>
  <c r="S17" i="2"/>
  <c r="Q111" i="2"/>
  <c r="AL34" i="2"/>
  <c r="AQ74" i="2"/>
  <c r="AF60" i="2"/>
  <c r="AJ43" i="2"/>
  <c r="AF77" i="2"/>
  <c r="AI28" i="2"/>
  <c r="AS36" i="2"/>
  <c r="AG56" i="2"/>
  <c r="K280" i="2"/>
  <c r="AA300" i="2"/>
  <c r="I257" i="2"/>
  <c r="S278" i="2"/>
  <c r="F260" i="2"/>
  <c r="V15" i="2"/>
  <c r="T276" i="2"/>
  <c r="U255" i="2"/>
  <c r="AI248" i="2"/>
  <c r="AM283" i="2"/>
  <c r="AC296" i="2"/>
  <c r="N76" i="2"/>
  <c r="AH46" i="2"/>
  <c r="AH14" i="2"/>
  <c r="AE55" i="2"/>
  <c r="AC40" i="2"/>
  <c r="V60" i="2"/>
  <c r="I156" i="2"/>
  <c r="V58" i="2"/>
  <c r="E13" i="2"/>
  <c r="AC27" i="2"/>
  <c r="AL43" i="2"/>
  <c r="G69" i="2"/>
  <c r="AP77" i="2"/>
  <c r="R102" i="2"/>
  <c r="AI77" i="2"/>
  <c r="T59" i="2"/>
  <c r="AS13" i="2"/>
  <c r="E28" i="2"/>
  <c r="P45" i="2"/>
  <c r="AA69" i="2"/>
  <c r="T78" i="2"/>
  <c r="AL102" i="2"/>
  <c r="M78" i="2"/>
  <c r="AA102" i="2"/>
  <c r="AD78" i="2"/>
  <c r="AB59" i="2"/>
  <c r="I14" i="2"/>
  <c r="I28" i="2"/>
  <c r="T45" i="2"/>
  <c r="AE69" i="2"/>
  <c r="X78" i="2"/>
  <c r="AP102" i="2"/>
  <c r="Q78" i="2"/>
  <c r="Y99" i="2"/>
  <c r="W111" i="2"/>
  <c r="AL85" i="2"/>
  <c r="Y98" i="2"/>
  <c r="E19" i="2"/>
  <c r="L36" i="2"/>
  <c r="S54" i="2"/>
  <c r="AC77" i="2"/>
  <c r="AB85" i="2"/>
  <c r="AP111" i="2"/>
  <c r="Y85" i="2"/>
  <c r="AN76" i="2"/>
  <c r="AS42" i="2"/>
  <c r="Q17" i="2"/>
  <c r="O24" i="2"/>
  <c r="P34" i="2"/>
  <c r="Z41" i="2"/>
  <c r="AA51" i="2"/>
  <c r="AE58" i="2"/>
  <c r="AK74" i="2"/>
  <c r="W110" i="2"/>
  <c r="AJ83" i="2"/>
  <c r="AR94" i="2"/>
  <c r="H110" i="2"/>
  <c r="I152" i="2"/>
  <c r="AG83" i="2"/>
  <c r="AG94" i="2"/>
  <c r="AI109" i="2"/>
  <c r="G138" i="2"/>
  <c r="H84" i="2"/>
  <c r="H98" i="2"/>
  <c r="AA111" i="2"/>
  <c r="AP85" i="2"/>
  <c r="AS110" i="2"/>
  <c r="AB98" i="2"/>
  <c r="O133" i="2"/>
  <c r="N94" i="2"/>
  <c r="S176" i="2"/>
  <c r="R85" i="2"/>
  <c r="Y84" i="2"/>
  <c r="X40" i="2"/>
  <c r="AJ16" i="2"/>
  <c r="U38" i="2"/>
  <c r="AA26" i="2"/>
  <c r="AK58" i="2"/>
  <c r="AI48" i="2"/>
  <c r="AI10" i="2"/>
  <c r="Z35" i="2"/>
  <c r="AQ90" i="2"/>
  <c r="AJ123" i="2"/>
  <c r="E136" i="2"/>
  <c r="Z94" i="2"/>
  <c r="E41" i="2"/>
  <c r="AI23" i="2"/>
  <c r="F41" i="2"/>
  <c r="K58" i="2"/>
  <c r="AA108" i="2"/>
  <c r="X94" i="2"/>
  <c r="AC137" i="2"/>
  <c r="M94" i="2"/>
  <c r="O99" i="2"/>
  <c r="I12" i="2"/>
  <c r="I19" i="2"/>
  <c r="I27" i="2"/>
  <c r="P36" i="2"/>
  <c r="R43" i="2"/>
  <c r="W54" i="2"/>
  <c r="AA60" i="2"/>
  <c r="AK77" i="2"/>
  <c r="AT276" i="2"/>
  <c r="AF85" i="2"/>
  <c r="AN99" i="2"/>
  <c r="AT111" i="2"/>
  <c r="AO254" i="2"/>
  <c r="AC85" i="2"/>
  <c r="AC99" i="2"/>
  <c r="AE111" i="2"/>
  <c r="AM197" i="2"/>
  <c r="AT85" i="2"/>
  <c r="AT99" i="2"/>
  <c r="S136" i="2"/>
  <c r="AD94" i="2"/>
  <c r="F137" i="2"/>
  <c r="AE102" i="2"/>
  <c r="AH78" i="2"/>
  <c r="G102" i="2"/>
  <c r="J78" i="2"/>
  <c r="AN89" i="2"/>
  <c r="AF51" i="2"/>
  <c r="K16" i="2"/>
  <c r="V26" i="2"/>
  <c r="T41" i="2"/>
  <c r="AC58" i="2"/>
  <c r="I109" i="2"/>
  <c r="M36" i="2"/>
  <c r="AL12" i="2"/>
  <c r="Z55" i="2"/>
  <c r="AL16" i="2"/>
  <c r="J27" i="2"/>
  <c r="P42" i="2"/>
  <c r="AA59" i="2"/>
  <c r="O120" i="2"/>
  <c r="O40" i="2"/>
  <c r="H17" i="2"/>
  <c r="L58" i="2"/>
  <c r="Z17" i="2"/>
  <c r="AJ27" i="2"/>
  <c r="T43" i="2"/>
  <c r="Y60" i="2"/>
  <c r="G10" i="2"/>
  <c r="AM42" i="2"/>
  <c r="T138" i="2"/>
  <c r="AF16" i="2"/>
  <c r="H42" i="2"/>
  <c r="O76" i="2"/>
  <c r="AR69" i="2"/>
  <c r="T77" i="2"/>
  <c r="AE27" i="2"/>
  <c r="Q60" i="2"/>
  <c r="R30" i="2"/>
  <c r="AK36" i="2"/>
  <c r="J23" i="2"/>
  <c r="K55" i="2"/>
  <c r="AI17" i="2"/>
  <c r="AQ102" i="2"/>
  <c r="AT78" i="2"/>
  <c r="R60" i="2"/>
  <c r="AG14" i="2"/>
  <c r="Y28" i="2"/>
  <c r="AJ45" i="2"/>
  <c r="E70" i="2"/>
  <c r="AN78" i="2"/>
  <c r="P103" i="2"/>
  <c r="AG78" i="2"/>
  <c r="N69" i="2"/>
  <c r="AF30" i="2"/>
  <c r="I15" i="2"/>
  <c r="AS20" i="2"/>
  <c r="AS28" i="2"/>
  <c r="P38" i="2"/>
  <c r="P46" i="2"/>
  <c r="S56" i="2"/>
  <c r="Y70" i="2"/>
  <c r="AS89" i="2"/>
  <c r="Z79" i="2"/>
  <c r="AB90" i="2"/>
  <c r="AJ103" i="2"/>
  <c r="AD122" i="2"/>
  <c r="S79" i="2"/>
  <c r="Y90" i="2"/>
  <c r="Y103" i="2"/>
  <c r="J122" i="2"/>
  <c r="AJ79" i="2"/>
  <c r="AP90" i="2"/>
  <c r="E103" i="2"/>
  <c r="P79" i="2"/>
  <c r="W102" i="2"/>
  <c r="X79" i="2"/>
  <c r="U110" i="2"/>
  <c r="AJ84" i="2"/>
  <c r="AM109" i="2"/>
  <c r="AT90" i="2"/>
  <c r="K41" i="2"/>
  <c r="AP23" i="2"/>
  <c r="S59" i="2"/>
  <c r="N53" i="2"/>
  <c r="AM11" i="2"/>
  <c r="AT38" i="2"/>
  <c r="AA231" i="2"/>
  <c r="AJ26" i="2"/>
  <c r="F20" i="2"/>
  <c r="I51" i="2"/>
  <c r="M24" i="2"/>
  <c r="AG110" i="2"/>
  <c r="F85" i="2"/>
  <c r="AG84" i="2"/>
  <c r="Q18" i="2"/>
  <c r="T35" i="2"/>
  <c r="AC53" i="2"/>
  <c r="AK76" i="2"/>
  <c r="AL84" i="2"/>
  <c r="J111" i="2"/>
  <c r="AI84" i="2"/>
  <c r="H76" i="2"/>
  <c r="U41" i="2"/>
  <c r="AS16" i="2"/>
  <c r="AM23" i="2"/>
  <c r="AN33" i="2"/>
  <c r="J41" i="2"/>
  <c r="K51" i="2"/>
  <c r="O58" i="2"/>
  <c r="U74" i="2"/>
  <c r="AQ108" i="2"/>
  <c r="T83" i="2"/>
  <c r="AB94" i="2"/>
  <c r="AH109" i="2"/>
  <c r="AQ137" i="2"/>
  <c r="Q83" i="2"/>
  <c r="Q94" i="2"/>
  <c r="S109" i="2"/>
  <c r="AG136" i="2"/>
  <c r="AH83" i="2"/>
  <c r="AH94" i="2"/>
  <c r="AK110" i="2"/>
  <c r="J85" i="2"/>
  <c r="M110" i="2"/>
  <c r="AD90" i="2"/>
  <c r="Q123" i="2"/>
  <c r="Z92" i="2"/>
  <c r="P122" i="2"/>
  <c r="AH92" i="2"/>
  <c r="AO33" i="2"/>
  <c r="W11" i="2"/>
  <c r="T21" i="2"/>
  <c r="AP35" i="2"/>
  <c r="E54" i="2"/>
  <c r="E77" i="2"/>
  <c r="S21" i="2"/>
  <c r="R74" i="2"/>
  <c r="U36" i="2"/>
  <c r="T13" i="2"/>
  <c r="E23" i="2"/>
  <c r="AL36" i="2"/>
  <c r="AS54" i="2"/>
  <c r="AM78" i="2"/>
  <c r="AO23" i="2"/>
  <c r="AG79" i="2"/>
  <c r="AS38" i="2"/>
  <c r="X14" i="2"/>
  <c r="AF23" i="2"/>
  <c r="AH37" i="2"/>
  <c r="AQ55" i="2"/>
  <c r="AC84" i="2"/>
  <c r="Z26" i="2"/>
  <c r="AS102" i="2"/>
  <c r="J59" i="2"/>
  <c r="AT24" i="2"/>
  <c r="AK54" i="2"/>
  <c r="AM10" i="2"/>
  <c r="R11" i="2"/>
  <c r="P16" i="2"/>
  <c r="Z37" i="2"/>
  <c r="AI74" i="2"/>
  <c r="H60" i="2"/>
  <c r="Z74" i="2"/>
  <c r="AA30" i="2"/>
  <c r="AI59" i="2"/>
  <c r="AM40" i="2"/>
  <c r="AE260" i="2"/>
  <c r="AO278" i="2"/>
  <c r="AK289" i="2"/>
  <c r="AB276" i="2"/>
  <c r="K276" i="2"/>
  <c r="AC255" i="2"/>
  <c r="J260" i="2"/>
  <c r="F254" i="2"/>
  <c r="F15" i="2"/>
  <c r="AI288" i="2"/>
  <c r="Z258" i="2"/>
  <c r="AF300" i="2"/>
  <c r="AR290" i="2"/>
  <c r="K277" i="2"/>
  <c r="O281" i="2"/>
  <c r="AG265" i="2"/>
  <c r="AS259" i="2"/>
  <c r="S288" i="2"/>
  <c r="V258" i="2"/>
  <c r="P300" i="2"/>
  <c r="S258" i="2"/>
  <c r="AL278" i="2"/>
  <c r="AL256" i="2"/>
  <c r="AT280" i="2"/>
  <c r="Q33" i="2"/>
  <c r="G11" i="2"/>
  <c r="O21" i="2"/>
  <c r="AH35" i="2"/>
  <c r="AM53" i="2"/>
  <c r="AM76" i="2"/>
  <c r="AP20" i="2"/>
  <c r="AJ73" i="2"/>
  <c r="G57" i="2"/>
  <c r="S48" i="2"/>
  <c r="F26" i="2"/>
  <c r="E58" i="2"/>
  <c r="AC34" i="2"/>
  <c r="AT53" i="2"/>
  <c r="AF26" i="2"/>
  <c r="AS58" i="2"/>
  <c r="Y37" i="2"/>
  <c r="AF12" i="2"/>
  <c r="AH33" i="2"/>
  <c r="AD23" i="2"/>
  <c r="X18" i="2"/>
  <c r="AO109" i="2"/>
  <c r="AT14" i="2"/>
  <c r="V38" i="2"/>
  <c r="L73" i="2"/>
  <c r="S277" i="2"/>
  <c r="AE281" i="2"/>
  <c r="K260" i="2"/>
  <c r="AD258" i="2"/>
  <c r="X212" i="2"/>
  <c r="L279" i="2"/>
  <c r="AJ281" i="2"/>
  <c r="AR283" i="2"/>
  <c r="V279" i="2"/>
  <c r="W258" i="2"/>
  <c r="AP256" i="2"/>
  <c r="T281" i="2"/>
  <c r="AG271" i="2"/>
  <c r="W10" i="2"/>
  <c r="G15" i="2"/>
  <c r="AD38" i="2"/>
  <c r="W92" i="2"/>
  <c r="AO137" i="2"/>
  <c r="AG69" i="2"/>
  <c r="M48" i="2"/>
  <c r="V73" i="2"/>
  <c r="G37" i="2"/>
  <c r="X74" i="2"/>
  <c r="AG16" i="2"/>
  <c r="AB33" i="2"/>
  <c r="AP48" i="2"/>
  <c r="I74" i="2"/>
  <c r="H83" i="2"/>
  <c r="V109" i="2"/>
  <c r="E83" i="2"/>
  <c r="X76" i="2"/>
  <c r="I17" i="2"/>
  <c r="H34" i="2"/>
  <c r="S51" i="2"/>
  <c r="AC74" i="2"/>
  <c r="AB83" i="2"/>
  <c r="AP109" i="2"/>
  <c r="Y83" i="2"/>
  <c r="AA109" i="2"/>
  <c r="AP83" i="2"/>
  <c r="AF76" i="2"/>
  <c r="M17" i="2"/>
  <c r="L34" i="2"/>
  <c r="W51" i="2"/>
  <c r="AG74" i="2"/>
  <c r="AF83" i="2"/>
  <c r="AT109" i="2"/>
  <c r="AC83" i="2"/>
  <c r="Z60" i="2"/>
  <c r="AL123" i="2"/>
  <c r="AL92" i="2"/>
  <c r="AQ36" i="2"/>
  <c r="AS21" i="2"/>
  <c r="R40" i="2"/>
  <c r="U57" i="2"/>
  <c r="S99" i="2"/>
  <c r="AF92" i="2"/>
  <c r="AH124" i="2"/>
  <c r="Y92" i="2"/>
  <c r="AA92" i="2"/>
  <c r="U11" i="2"/>
  <c r="AK18" i="2"/>
  <c r="AK26" i="2"/>
  <c r="AN35" i="2"/>
  <c r="AT42" i="2"/>
  <c r="G54" i="2"/>
  <c r="K60" i="2"/>
  <c r="O77" i="2"/>
  <c r="AC156" i="2"/>
  <c r="P85" i="2"/>
  <c r="X99" i="2"/>
  <c r="AD111" i="2"/>
  <c r="AD197" i="2"/>
  <c r="M85" i="2"/>
  <c r="M99" i="2"/>
  <c r="O111" i="2"/>
  <c r="AD175" i="2"/>
  <c r="AD85" i="2"/>
  <c r="AD99" i="2"/>
  <c r="AT123" i="2"/>
  <c r="AP92" i="2"/>
  <c r="X124" i="2"/>
  <c r="AO99" i="2"/>
  <c r="AD255" i="2"/>
  <c r="AC94" i="2"/>
  <c r="AF82" i="2"/>
  <c r="AN17" i="2"/>
  <c r="AJ17" i="2"/>
  <c r="AJ48" i="2"/>
  <c r="E34" i="2"/>
  <c r="AJ69" i="2"/>
  <c r="AD34" i="2"/>
  <c r="AM83" i="2"/>
  <c r="W99" i="2"/>
  <c r="AQ16" i="2"/>
  <c r="X42" i="2"/>
  <c r="R14" i="2"/>
  <c r="K102" i="2"/>
  <c r="N78" i="2"/>
  <c r="AL58" i="2"/>
  <c r="U13" i="2"/>
  <c r="AK27" i="2"/>
  <c r="AT43" i="2"/>
  <c r="O69" i="2"/>
  <c r="H78" i="2"/>
  <c r="Z102" i="2"/>
  <c r="AQ77" i="2"/>
  <c r="AJ59" i="2"/>
  <c r="Q158" i="2"/>
  <c r="AK14" i="2"/>
  <c r="AC20" i="2"/>
  <c r="AC28" i="2"/>
  <c r="AN37" i="2"/>
  <c r="AN45" i="2"/>
  <c r="AS55" i="2"/>
  <c r="I70" i="2"/>
  <c r="AA85" i="2"/>
  <c r="AR78" i="2"/>
  <c r="L90" i="2"/>
  <c r="T103" i="2"/>
  <c r="AQ120" i="2"/>
  <c r="AK78" i="2"/>
  <c r="I90" i="2"/>
  <c r="I103" i="2"/>
  <c r="AB120" i="2"/>
  <c r="T79" i="2"/>
  <c r="Z90" i="2"/>
  <c r="O102" i="2"/>
  <c r="R78" i="2"/>
  <c r="AG99" i="2"/>
  <c r="Z78" i="2"/>
  <c r="AE109" i="2"/>
  <c r="AT83" i="2"/>
  <c r="G109" i="2"/>
  <c r="V83" i="2"/>
  <c r="K19" i="2"/>
  <c r="L69" i="2"/>
  <c r="S18" i="2"/>
  <c r="AD28" i="2"/>
  <c r="V45" i="2"/>
  <c r="AC69" i="2"/>
  <c r="O12" i="2"/>
  <c r="K48" i="2"/>
  <c r="N21" i="2"/>
  <c r="J74" i="2"/>
  <c r="AT18" i="2"/>
  <c r="S30" i="2"/>
  <c r="R46" i="2"/>
  <c r="AA70" i="2"/>
  <c r="G14" i="2"/>
  <c r="AL53" i="2"/>
  <c r="AT23" i="2"/>
  <c r="AI78" i="2"/>
  <c r="AB19" i="2"/>
  <c r="R33" i="2"/>
  <c r="T48" i="2"/>
  <c r="U73" i="2"/>
  <c r="AQ15" i="2"/>
  <c r="X56" i="2"/>
  <c r="AM28" i="2"/>
  <c r="AL20" i="2"/>
  <c r="J46" i="2"/>
  <c r="N119" i="2"/>
  <c r="AA110" i="2"/>
  <c r="R15" i="2"/>
  <c r="F36" i="2"/>
  <c r="M77" i="2"/>
  <c r="AP55" i="2"/>
  <c r="P60" i="2"/>
  <c r="S28" i="2"/>
  <c r="M58" i="2"/>
  <c r="I35" i="2"/>
  <c r="AQ109" i="2"/>
  <c r="P84" i="2"/>
  <c r="V77" i="2"/>
  <c r="AC17" i="2"/>
  <c r="AB34" i="2"/>
  <c r="AM51" i="2"/>
  <c r="E76" i="2"/>
  <c r="F84" i="2"/>
  <c r="T110" i="2"/>
  <c r="AS83" i="2"/>
  <c r="P74" i="2"/>
  <c r="AQ38" i="2"/>
  <c r="AC16" i="2"/>
  <c r="W23" i="2"/>
  <c r="X33" i="2"/>
  <c r="AL40" i="2"/>
  <c r="AL48" i="2"/>
  <c r="AO57" i="2"/>
  <c r="E74" i="2"/>
  <c r="O103" i="2"/>
  <c r="AT82" i="2"/>
  <c r="L94" i="2"/>
  <c r="R109" i="2"/>
  <c r="AB136" i="2"/>
  <c r="AQ82" i="2"/>
  <c r="AS92" i="2"/>
  <c r="AS108" i="2"/>
  <c r="AC133" i="2"/>
  <c r="R83" i="2"/>
  <c r="R94" i="2"/>
  <c r="E110" i="2"/>
  <c r="T84" i="2"/>
  <c r="W109" i="2"/>
  <c r="H89" i="2"/>
  <c r="AR120" i="2"/>
  <c r="AL90" i="2"/>
  <c r="L120" i="2"/>
  <c r="AR98" i="2"/>
  <c r="AB73" i="2"/>
  <c r="K30" i="2"/>
  <c r="U89" i="2"/>
  <c r="AE16" i="2"/>
  <c r="W19" i="2"/>
  <c r="L48" i="2"/>
  <c r="AD21" i="2"/>
  <c r="AA48" i="2"/>
  <c r="K26" i="2"/>
  <c r="M69" i="2"/>
  <c r="AS45" i="2"/>
  <c r="X122" i="2"/>
  <c r="F92" i="2"/>
  <c r="AI33" i="2"/>
  <c r="M21" i="2"/>
  <c r="AB38" i="2"/>
  <c r="AE56" i="2"/>
  <c r="O92" i="2"/>
  <c r="AN90" i="2"/>
  <c r="I123" i="2"/>
  <c r="AK90" i="2"/>
  <c r="W85" i="2"/>
  <c r="AG10" i="2"/>
  <c r="U18" i="2"/>
  <c r="U26" i="2"/>
  <c r="X35" i="2"/>
  <c r="AD42" i="2"/>
  <c r="AG53" i="2"/>
  <c r="AK59" i="2"/>
  <c r="AO76" i="2"/>
  <c r="W133" i="2"/>
  <c r="AP84" i="2"/>
  <c r="H99" i="2"/>
  <c r="N111" i="2"/>
  <c r="U175" i="2"/>
  <c r="AM84" i="2"/>
  <c r="AM98" i="2"/>
  <c r="AO110" i="2"/>
  <c r="E160" i="2"/>
  <c r="N85" i="2"/>
  <c r="N99" i="2"/>
  <c r="AE122" i="2"/>
  <c r="J92" i="2"/>
  <c r="AH120" i="2"/>
  <c r="R92" i="2"/>
  <c r="AP174" i="2"/>
  <c r="Z99" i="2"/>
  <c r="AO156" i="2"/>
  <c r="AH99" i="2"/>
  <c r="AA43" i="2"/>
  <c r="L15" i="2"/>
  <c r="Y24" i="2"/>
  <c r="AL38" i="2"/>
  <c r="AI94" i="2"/>
  <c r="AR28" i="2"/>
  <c r="R197" i="2"/>
  <c r="AM15" i="2"/>
  <c r="AF40" i="2"/>
  <c r="G103" i="2"/>
  <c r="AH11" i="2"/>
  <c r="V16" i="2"/>
  <c r="AJ41" i="2"/>
  <c r="AE110" i="2"/>
  <c r="Z13" i="2"/>
  <c r="AO60" i="2"/>
  <c r="AI27" i="2"/>
  <c r="AD45" i="2"/>
  <c r="J13" i="2"/>
  <c r="AE76" i="2"/>
  <c r="R291" i="2"/>
  <c r="Y270" i="2"/>
  <c r="I289" i="2"/>
  <c r="AA258" i="2"/>
  <c r="AT256" i="2"/>
  <c r="AB271" i="2"/>
  <c r="AN283" i="2"/>
  <c r="AT278" i="2"/>
  <c r="AM256" i="2"/>
  <c r="P255" i="2"/>
  <c r="AE42" i="2"/>
  <c r="T24" i="2"/>
  <c r="AO56" i="2"/>
  <c r="AB28" i="2"/>
  <c r="AI85" i="2"/>
  <c r="R54" i="2"/>
  <c r="AB77" i="2"/>
  <c r="S45" i="2"/>
  <c r="AM108" i="2"/>
  <c r="AC19" i="2"/>
  <c r="AJ36" i="2"/>
  <c r="AQ54" i="2"/>
  <c r="AC79" i="2"/>
  <c r="J89" i="2"/>
  <c r="Z119" i="2"/>
  <c r="G89" i="2"/>
  <c r="AO119" i="2"/>
  <c r="E20" i="2"/>
  <c r="P37" i="2"/>
  <c r="U55" i="2"/>
  <c r="O83" i="2"/>
  <c r="AD89" i="2"/>
  <c r="K120" i="2"/>
  <c r="AA89" i="2"/>
  <c r="AL119" i="2"/>
  <c r="AR89" i="2"/>
  <c r="AP120" i="2"/>
  <c r="I20" i="2"/>
  <c r="T37" i="2"/>
  <c r="Y55" i="2"/>
  <c r="AE83" i="2"/>
  <c r="AH89" i="2"/>
  <c r="P120" i="2"/>
  <c r="AE89" i="2"/>
  <c r="U99" i="2"/>
  <c r="AP194" i="2"/>
  <c r="AL99" i="2"/>
  <c r="AS11" i="2"/>
  <c r="E27" i="2"/>
  <c r="N43" i="2"/>
  <c r="W60" i="2"/>
  <c r="U195" i="2"/>
  <c r="AJ99" i="2"/>
  <c r="AO231" i="2"/>
  <c r="N58" i="2"/>
  <c r="AI122" i="2"/>
  <c r="Q14" i="2"/>
  <c r="M20" i="2"/>
  <c r="M28" i="2"/>
  <c r="X37" i="2"/>
  <c r="X45" i="2"/>
  <c r="AC55" i="2"/>
  <c r="AI69" i="2"/>
  <c r="E84" i="2"/>
  <c r="AB78" i="2"/>
  <c r="AL89" i="2"/>
  <c r="AT102" i="2"/>
  <c r="V120" i="2"/>
  <c r="U78" i="2"/>
  <c r="AI89" i="2"/>
  <c r="AI102" i="2"/>
  <c r="G120" i="2"/>
  <c r="AL78" i="2"/>
  <c r="J90" i="2"/>
  <c r="K98" i="2"/>
  <c r="AK195" i="2"/>
  <c r="AP99" i="2"/>
  <c r="AE198" i="2"/>
  <c r="AO108" i="2"/>
  <c r="N83" i="2"/>
  <c r="Q108" i="2"/>
  <c r="X89" i="2"/>
  <c r="AO35" i="2"/>
  <c r="AP21" i="2"/>
  <c r="AM57" i="2"/>
  <c r="V57" i="2"/>
  <c r="S14" i="2"/>
  <c r="AB41" i="2"/>
  <c r="AE12" i="2"/>
  <c r="X21" i="2"/>
  <c r="J21" i="2"/>
  <c r="AE53" i="2"/>
  <c r="L28" i="2"/>
  <c r="K109" i="2"/>
  <c r="Z83" i="2"/>
  <c r="AN74" i="2"/>
  <c r="AO16" i="2"/>
  <c r="AJ33" i="2"/>
  <c r="G51" i="2"/>
  <c r="Q74" i="2"/>
  <c r="P83" i="2"/>
  <c r="AD109" i="2"/>
  <c r="M83" i="2"/>
  <c r="Z73" i="2"/>
  <c r="O37" i="2"/>
  <c r="M16" i="2"/>
  <c r="G23" i="2"/>
  <c r="H33" i="2"/>
  <c r="V40" i="2"/>
  <c r="V48" i="2"/>
  <c r="Y57" i="2"/>
  <c r="AE73" i="2"/>
  <c r="AI99" i="2"/>
  <c r="AD82" i="2"/>
  <c r="AJ92" i="2"/>
  <c r="AR108" i="2"/>
  <c r="I133" i="2"/>
  <c r="AA82" i="2"/>
  <c r="AC92" i="2"/>
  <c r="AC108" i="2"/>
  <c r="L124" i="2"/>
  <c r="AR82" i="2"/>
  <c r="AT92" i="2"/>
  <c r="O109" i="2"/>
  <c r="AD83" i="2"/>
  <c r="AG108" i="2"/>
  <c r="AL83" i="2"/>
  <c r="AR119" i="2"/>
  <c r="F90" i="2"/>
  <c r="L119" i="2"/>
  <c r="N90" i="2"/>
  <c r="S27" i="2"/>
  <c r="AI103" i="2"/>
  <c r="P20" i="2"/>
  <c r="V34" i="2"/>
  <c r="Y51" i="2"/>
  <c r="AA74" i="2"/>
  <c r="R18" i="2"/>
  <c r="Z59" i="2"/>
  <c r="J30" i="2"/>
  <c r="S10" i="2"/>
  <c r="AQ20" i="2"/>
  <c r="R35" i="2"/>
  <c r="W53" i="2"/>
  <c r="W76" i="2"/>
  <c r="J20" i="2"/>
  <c r="Z70" i="2"/>
  <c r="AK34" i="2"/>
  <c r="K12" i="2"/>
  <c r="AE21" i="2"/>
  <c r="N36" i="2"/>
  <c r="U54" i="2"/>
  <c r="U77" i="2"/>
  <c r="AT21" i="2"/>
  <c r="F76" i="2"/>
  <c r="AR54" i="2"/>
  <c r="AQ26" i="2"/>
  <c r="Q56" i="2"/>
  <c r="AL19" i="2"/>
  <c r="Y23" i="2"/>
  <c r="T17" i="2"/>
  <c r="L43" i="2"/>
  <c r="E98" i="2"/>
  <c r="N10" i="2"/>
  <c r="AJ13" i="2"/>
  <c r="AT36" i="2"/>
  <c r="K74" i="2"/>
  <c r="T58" i="2"/>
  <c r="R120" i="2"/>
  <c r="R90" i="2"/>
  <c r="AJ152" i="2"/>
  <c r="Y20" i="2"/>
  <c r="AJ37" i="2"/>
  <c r="AO55" i="2"/>
  <c r="K85" i="2"/>
  <c r="H90" i="2"/>
  <c r="AL120" i="2"/>
  <c r="E90" i="2"/>
  <c r="U82" i="2"/>
  <c r="AK48" i="2"/>
  <c r="E18" i="2"/>
  <c r="E26" i="2"/>
  <c r="H35" i="2"/>
  <c r="N42" i="2"/>
  <c r="Q53" i="2"/>
  <c r="U59" i="2"/>
  <c r="Y76" i="2"/>
  <c r="N122" i="2"/>
  <c r="Z84" i="2"/>
  <c r="AH98" i="2"/>
  <c r="AN110" i="2"/>
  <c r="G159" i="2"/>
  <c r="W84" i="2"/>
  <c r="W98" i="2"/>
  <c r="Y110" i="2"/>
  <c r="T156" i="2"/>
  <c r="AN84" i="2"/>
  <c r="AN98" i="2"/>
  <c r="W120" i="2"/>
  <c r="V90" i="2"/>
  <c r="AG119" i="2"/>
  <c r="AB84" i="2"/>
  <c r="AM155" i="2"/>
  <c r="AJ98" i="2"/>
  <c r="AP78" i="2"/>
  <c r="AL94" i="2"/>
  <c r="AI14" i="2"/>
  <c r="F38" i="2"/>
  <c r="AI13" i="2"/>
  <c r="U34" i="2"/>
  <c r="AD24" i="2"/>
  <c r="O57" i="2"/>
  <c r="O42" i="2"/>
  <c r="S92" i="2"/>
  <c r="F34" i="2"/>
  <c r="AK79" i="2"/>
  <c r="AI83" i="2"/>
  <c r="AG158" i="2"/>
  <c r="F99" i="2"/>
  <c r="Y10" i="2"/>
  <c r="Q26" i="2"/>
  <c r="Z42" i="2"/>
  <c r="AG59" i="2"/>
  <c r="R124" i="2"/>
  <c r="AT98" i="2"/>
  <c r="AE174" i="2"/>
  <c r="I99" i="2"/>
  <c r="I111" i="2"/>
  <c r="AC13" i="2"/>
  <c r="AO19" i="2"/>
  <c r="AO27" i="2"/>
  <c r="H37" i="2"/>
  <c r="H45" i="2"/>
  <c r="M55" i="2"/>
  <c r="S69" i="2"/>
  <c r="Y82" i="2"/>
  <c r="L78" i="2"/>
  <c r="V89" i="2"/>
  <c r="AD102" i="2"/>
  <c r="AP119" i="2"/>
  <c r="E78" i="2"/>
  <c r="S89" i="2"/>
  <c r="S102" i="2"/>
  <c r="AB119" i="2"/>
  <c r="V78" i="2"/>
  <c r="AJ89" i="2"/>
  <c r="F94" i="2"/>
  <c r="R159" i="2"/>
  <c r="J99" i="2"/>
  <c r="AL160" i="2"/>
  <c r="I108" i="2"/>
  <c r="X82" i="2"/>
  <c r="AC103" i="2"/>
  <c r="AN79" i="2"/>
  <c r="R99" i="2"/>
  <c r="F57" i="2"/>
  <c r="O17" i="2"/>
  <c r="Z27" i="2"/>
  <c r="AN42" i="2"/>
  <c r="I60" i="2"/>
  <c r="M138" i="2"/>
  <c r="AQ41" i="2"/>
  <c r="L18" i="2"/>
  <c r="AH59" i="2"/>
  <c r="AP17" i="2"/>
  <c r="N28" i="2"/>
  <c r="AR43" i="2"/>
  <c r="E69" i="2"/>
  <c r="F11" i="2"/>
  <c r="U45" i="2"/>
  <c r="AQ19" i="2"/>
  <c r="R70" i="2"/>
  <c r="AD18" i="2"/>
  <c r="AN28" i="2"/>
  <c r="AL45" i="2"/>
  <c r="AS69" i="2"/>
  <c r="AP12" i="2"/>
  <c r="P51" i="2"/>
  <c r="AF123" i="2"/>
  <c r="AH15" i="2"/>
  <c r="AD36" i="2"/>
  <c r="AK73" i="2"/>
  <c r="AQ43" i="2"/>
  <c r="V53" i="2"/>
  <c r="Z23" i="2"/>
  <c r="AI55" i="2"/>
  <c r="AH18" i="2"/>
  <c r="AH30" i="2"/>
  <c r="G19" i="2"/>
  <c r="Z46" i="2"/>
  <c r="AA122" i="2"/>
  <c r="F37" i="2"/>
  <c r="P288" i="2"/>
  <c r="AJ271" i="2"/>
  <c r="AD279" i="2"/>
  <c r="AJ288" i="2"/>
  <c r="AE258" i="2"/>
  <c r="T279" i="2"/>
  <c r="H257" i="2"/>
  <c r="P283" i="2"/>
  <c r="E257" i="2"/>
  <c r="J276" i="2"/>
  <c r="X255" i="2"/>
  <c r="K278" i="2"/>
  <c r="M280" i="2"/>
  <c r="K300" i="2"/>
  <c r="AP277" i="2"/>
  <c r="AM278" i="2"/>
  <c r="AQ256" i="2"/>
  <c r="AO271" i="2"/>
  <c r="T255" i="2"/>
  <c r="AS277" i="2"/>
  <c r="Q255" i="2"/>
  <c r="AN259" i="2"/>
  <c r="AA248" i="2"/>
  <c r="T16" i="2"/>
  <c r="AF56" i="2"/>
  <c r="J17" i="2"/>
  <c r="T27" i="2"/>
  <c r="AF42" i="2"/>
  <c r="AQ59" i="2"/>
  <c r="AP123" i="2"/>
  <c r="S41" i="2"/>
  <c r="AP46" i="2"/>
  <c r="G90" i="2"/>
  <c r="AP33" i="2"/>
  <c r="AS73" i="2"/>
  <c r="AT57" i="2"/>
  <c r="G28" i="2"/>
  <c r="AA20" i="2"/>
  <c r="AO51" i="2"/>
  <c r="F19" i="2"/>
  <c r="AH24" i="2"/>
  <c r="AM19" i="2"/>
  <c r="Q102" i="2"/>
  <c r="AK109" i="2"/>
  <c r="AK69" i="2"/>
  <c r="G42" i="2"/>
  <c r="N24" i="2"/>
  <c r="Z20" i="2"/>
  <c r="U280" i="2"/>
  <c r="H278" i="2"/>
  <c r="M279" i="2"/>
  <c r="R276" i="2"/>
  <c r="AB255" i="2"/>
  <c r="Y255" i="2"/>
  <c r="AQ248" i="2"/>
  <c r="AG278" i="2"/>
  <c r="U289" i="2"/>
  <c r="AH271" i="2"/>
  <c r="AR259" i="2"/>
  <c r="AL15" i="2"/>
  <c r="R258" i="2"/>
  <c r="AN21" i="2"/>
  <c r="L19" i="2"/>
  <c r="AI30" i="2"/>
  <c r="AQ70" i="2"/>
  <c r="AJ54" i="2"/>
  <c r="AF280" i="2"/>
  <c r="M283" i="2"/>
  <c r="P271" i="2"/>
  <c r="AR281" i="2"/>
  <c r="AD124" i="2"/>
  <c r="Q152" i="2"/>
  <c r="F110" i="2"/>
  <c r="L291" i="2"/>
  <c r="AC300" i="2"/>
  <c r="AK281" i="2"/>
  <c r="AI300" i="2"/>
  <c r="U279" i="2"/>
  <c r="Z175" i="2"/>
  <c r="V159" i="2"/>
  <c r="AB260" i="2"/>
  <c r="P136" i="2"/>
  <c r="AM137" i="2"/>
  <c r="J198" i="2"/>
  <c r="AN111" i="2"/>
  <c r="AL300" i="2"/>
  <c r="AT281" i="2"/>
  <c r="Y288" i="2"/>
  <c r="E278" i="2"/>
  <c r="AE271" i="2"/>
  <c r="AS136" i="2"/>
  <c r="AG175" i="2"/>
  <c r="T111" i="2"/>
  <c r="R300" i="2"/>
  <c r="Z281" i="2"/>
  <c r="E288" i="2"/>
  <c r="G277" i="2"/>
  <c r="AF290" i="2"/>
  <c r="AB283" i="2"/>
  <c r="T271" i="2"/>
  <c r="N279" i="2"/>
  <c r="H283" i="2"/>
  <c r="O258" i="2"/>
  <c r="AD278" i="2"/>
  <c r="AH256" i="2"/>
  <c r="AE280" i="2"/>
  <c r="AE256" i="2"/>
  <c r="Q271" i="2"/>
  <c r="H255" i="2"/>
  <c r="K11" i="2"/>
  <c r="AM279" i="2"/>
  <c r="AG291" i="2"/>
  <c r="Z277" i="2"/>
  <c r="G278" i="2"/>
  <c r="AA256" i="2"/>
  <c r="Q270" i="2"/>
  <c r="AT254" i="2"/>
  <c r="V11" i="2"/>
  <c r="W300" i="2"/>
  <c r="X259" i="2"/>
  <c r="AF231" i="2"/>
  <c r="X17" i="2"/>
  <c r="AJ58" i="2"/>
  <c r="AE17" i="2"/>
  <c r="AP27" i="2"/>
  <c r="AB43" i="2"/>
  <c r="AG60" i="2"/>
  <c r="R10" i="2"/>
  <c r="S43" i="2"/>
  <c r="I277" i="2"/>
  <c r="AE279" i="2"/>
  <c r="Q291" i="2"/>
  <c r="R277" i="2"/>
  <c r="AG277" i="2"/>
  <c r="S256" i="2"/>
  <c r="AQ260" i="2"/>
  <c r="AL254" i="2"/>
  <c r="J12" i="2"/>
  <c r="AK291" i="2"/>
  <c r="P259" i="2"/>
  <c r="X231" i="2"/>
  <c r="L300" i="2"/>
  <c r="AQ277" i="2"/>
  <c r="AQ283" i="2"/>
  <c r="AA271" i="2"/>
  <c r="AI260" i="2"/>
  <c r="U291" i="2"/>
  <c r="L259" i="2"/>
  <c r="T231" i="2"/>
  <c r="I259" i="2"/>
  <c r="R280" i="2"/>
  <c r="AB257" i="2"/>
  <c r="R289" i="2"/>
  <c r="N27" i="2"/>
  <c r="M102" i="2"/>
  <c r="K20" i="2"/>
  <c r="N34" i="2"/>
  <c r="Q51" i="2"/>
  <c r="S74" i="2"/>
  <c r="AT17" i="2"/>
  <c r="AR58" i="2"/>
  <c r="X283" i="2"/>
  <c r="AP280" i="2"/>
  <c r="AT260" i="2"/>
  <c r="X278" i="2"/>
  <c r="AS279" i="2"/>
  <c r="Y257" i="2"/>
  <c r="H277" i="2"/>
  <c r="AR255" i="2"/>
  <c r="I279" i="2"/>
  <c r="AO255" i="2"/>
  <c r="V260" i="2"/>
  <c r="R254" i="2"/>
  <c r="AT13" i="2"/>
  <c r="G279" i="2"/>
  <c r="K290" i="2"/>
  <c r="AJ276" i="2"/>
  <c r="AA276" i="2"/>
  <c r="AK255" i="2"/>
  <c r="R260" i="2"/>
  <c r="N254" i="2"/>
  <c r="W14" i="2"/>
  <c r="Y289" i="2"/>
  <c r="AH258" i="2"/>
  <c r="AB212" i="2"/>
  <c r="O20" i="2"/>
  <c r="AP70" i="2"/>
  <c r="AI18" i="2"/>
  <c r="AT28" i="2"/>
  <c r="AT45" i="2"/>
  <c r="K70" i="2"/>
  <c r="N13" i="2"/>
  <c r="AN51" i="2"/>
  <c r="K191" i="2" l="1"/>
  <c r="AU44" i="2"/>
  <c r="AV44" i="2" s="1"/>
  <c r="AU28" i="2"/>
  <c r="AV28" i="2" s="1"/>
  <c r="AI113" i="2"/>
  <c r="AI112" i="2" s="1"/>
  <c r="AI282" i="2" s="1"/>
  <c r="AI284" i="2" s="1"/>
  <c r="AP191" i="2"/>
  <c r="AU13" i="2"/>
  <c r="AV13" i="2" s="1"/>
  <c r="X284" i="2"/>
  <c r="AU17" i="2"/>
  <c r="AV17" i="2" s="1"/>
  <c r="AD284" i="2"/>
  <c r="E292" i="2"/>
  <c r="AG216" i="2"/>
  <c r="AS135" i="2"/>
  <c r="AS134" i="2" s="1"/>
  <c r="AS132" i="2" s="1"/>
  <c r="Y292" i="2"/>
  <c r="J238" i="2"/>
  <c r="P135" i="2"/>
  <c r="P134" i="2" s="1"/>
  <c r="Z216" i="2"/>
  <c r="AQ191" i="2"/>
  <c r="AI29" i="2"/>
  <c r="H284" i="2"/>
  <c r="AK171" i="2"/>
  <c r="AK212" i="2" s="1"/>
  <c r="AK249" i="2" s="1"/>
  <c r="AK68" i="2"/>
  <c r="AS72" i="2"/>
  <c r="AQ61" i="2"/>
  <c r="AQ62" i="2" s="1"/>
  <c r="AQ63" i="2" s="1"/>
  <c r="AJ292" i="2"/>
  <c r="P292" i="2"/>
  <c r="AA121" i="2"/>
  <c r="AH29" i="2"/>
  <c r="AH113" i="2"/>
  <c r="AH112" i="2" s="1"/>
  <c r="AH282" i="2" s="1"/>
  <c r="AK72" i="2"/>
  <c r="AS171" i="2"/>
  <c r="AS212" i="2" s="1"/>
  <c r="AS249" i="2" s="1"/>
  <c r="AS68" i="2"/>
  <c r="AD113" i="2"/>
  <c r="AD112" i="2" s="1"/>
  <c r="AD282" i="2" s="1"/>
  <c r="R191" i="2"/>
  <c r="E171" i="2"/>
  <c r="E68" i="2"/>
  <c r="AH61" i="2"/>
  <c r="AH62" i="2" s="1"/>
  <c r="AH63" i="2" s="1"/>
  <c r="L113" i="2"/>
  <c r="L112" i="2" s="1"/>
  <c r="L282" i="2" s="1"/>
  <c r="X81" i="2"/>
  <c r="I107" i="2"/>
  <c r="AJ88" i="2"/>
  <c r="AB125" i="2"/>
  <c r="AB118" i="2"/>
  <c r="AB128" i="2"/>
  <c r="S88" i="2"/>
  <c r="AP118" i="2"/>
  <c r="AP125" i="2"/>
  <c r="AP128" i="2"/>
  <c r="V88" i="2"/>
  <c r="Y81" i="2"/>
  <c r="S171" i="2"/>
  <c r="S68" i="2"/>
  <c r="AE215" i="2"/>
  <c r="AE173" i="2"/>
  <c r="AT97" i="2"/>
  <c r="AG61" i="2"/>
  <c r="AG62" i="2" s="1"/>
  <c r="AG157" i="2"/>
  <c r="AJ97" i="2"/>
  <c r="AM154" i="2"/>
  <c r="AG118" i="2"/>
  <c r="AG125" i="2"/>
  <c r="W126" i="2"/>
  <c r="AN97" i="2"/>
  <c r="W97" i="2"/>
  <c r="AH97" i="2"/>
  <c r="N121" i="2"/>
  <c r="Y75" i="2"/>
  <c r="U61" i="2"/>
  <c r="U62" i="2" s="1"/>
  <c r="U63" i="2" s="1"/>
  <c r="E113" i="2"/>
  <c r="E112" i="2" s="1"/>
  <c r="E282" i="2" s="1"/>
  <c r="E284" i="2" s="1"/>
  <c r="AK47" i="2"/>
  <c r="U81" i="2"/>
  <c r="AL126" i="2"/>
  <c r="R126" i="2"/>
  <c r="AU36" i="2"/>
  <c r="AV36" i="2" s="1"/>
  <c r="E97" i="2"/>
  <c r="F75" i="2"/>
  <c r="AU21" i="2"/>
  <c r="AV21" i="2" s="1"/>
  <c r="Z191" i="2"/>
  <c r="W75" i="2"/>
  <c r="J29" i="2"/>
  <c r="Z61" i="2"/>
  <c r="Z62" i="2" s="1"/>
  <c r="Z63" i="2" s="1"/>
  <c r="R113" i="2"/>
  <c r="R112" i="2" s="1"/>
  <c r="R282" i="2" s="1"/>
  <c r="L128" i="2"/>
  <c r="L118" i="2"/>
  <c r="L125" i="2"/>
  <c r="AR125" i="2"/>
  <c r="AR118" i="2"/>
  <c r="AR128" i="2"/>
  <c r="AG107" i="2"/>
  <c r="AR81" i="2"/>
  <c r="AC107" i="2"/>
  <c r="AA81" i="2"/>
  <c r="AR107" i="2"/>
  <c r="AD81" i="2"/>
  <c r="AE72" i="2"/>
  <c r="V47" i="2"/>
  <c r="V127" i="2"/>
  <c r="Z72" i="2"/>
  <c r="X88" i="2"/>
  <c r="Q107" i="2"/>
  <c r="AO107" i="2"/>
  <c r="AE238" i="2"/>
  <c r="AK235" i="2"/>
  <c r="K97" i="2"/>
  <c r="G126" i="2"/>
  <c r="AI88" i="2"/>
  <c r="V126" i="2"/>
  <c r="AL88" i="2"/>
  <c r="AI171" i="2"/>
  <c r="AI212" i="2" s="1"/>
  <c r="AI249" i="2" s="1"/>
  <c r="AI68" i="2"/>
  <c r="AI121" i="2"/>
  <c r="U235" i="2"/>
  <c r="AP193" i="2"/>
  <c r="AE88" i="2"/>
  <c r="P126" i="2"/>
  <c r="AH88" i="2"/>
  <c r="AP126" i="2"/>
  <c r="AR88" i="2"/>
  <c r="AL118" i="2"/>
  <c r="AL128" i="2"/>
  <c r="AL125" i="2"/>
  <c r="AA88" i="2"/>
  <c r="K126" i="2"/>
  <c r="AD88" i="2"/>
  <c r="AO118" i="2"/>
  <c r="AO125" i="2"/>
  <c r="G88" i="2"/>
  <c r="Z118" i="2"/>
  <c r="Z125" i="2"/>
  <c r="Z128" i="2"/>
  <c r="J88" i="2"/>
  <c r="AM107" i="2"/>
  <c r="AT284" i="2"/>
  <c r="AE75" i="2"/>
  <c r="AF127" i="2"/>
  <c r="R237" i="2"/>
  <c r="R196" i="2"/>
  <c r="AP173" i="2"/>
  <c r="AH126" i="2"/>
  <c r="AE121" i="2"/>
  <c r="AM97" i="2"/>
  <c r="U216" i="2"/>
  <c r="AO75" i="2"/>
  <c r="AK61" i="2"/>
  <c r="AK62" i="2" s="1"/>
  <c r="AK63" i="2" s="1"/>
  <c r="U113" i="2"/>
  <c r="U112" i="2" s="1"/>
  <c r="U282" i="2" s="1"/>
  <c r="X121" i="2"/>
  <c r="M68" i="2"/>
  <c r="M171" i="2"/>
  <c r="AA47" i="2"/>
  <c r="L47" i="2"/>
  <c r="U88" i="2"/>
  <c r="K29" i="2"/>
  <c r="AB72" i="2"/>
  <c r="AR97" i="2"/>
  <c r="L126" i="2"/>
  <c r="AR126" i="2"/>
  <c r="H88" i="2"/>
  <c r="AS107" i="2"/>
  <c r="AQ81" i="2"/>
  <c r="AB135" i="2"/>
  <c r="AB134" i="2" s="1"/>
  <c r="AT81" i="2"/>
  <c r="AL47" i="2"/>
  <c r="AL127" i="2"/>
  <c r="E75" i="2"/>
  <c r="N125" i="2"/>
  <c r="N128" i="2"/>
  <c r="N118" i="2"/>
  <c r="U72" i="2"/>
  <c r="T47" i="2"/>
  <c r="AU23" i="2"/>
  <c r="AV23" i="2" s="1"/>
  <c r="AA191" i="2"/>
  <c r="S29" i="2"/>
  <c r="AT113" i="2"/>
  <c r="AT112" i="2" s="1"/>
  <c r="AT282" i="2" s="1"/>
  <c r="AU18" i="2"/>
  <c r="AV18" i="2" s="1"/>
  <c r="K47" i="2"/>
  <c r="AC171" i="2"/>
  <c r="AC68" i="2"/>
  <c r="S113" i="2"/>
  <c r="S112" i="2" s="1"/>
  <c r="S282" i="2" s="1"/>
  <c r="S284" i="2" s="1"/>
  <c r="L171" i="2"/>
  <c r="L68" i="2"/>
  <c r="AB126" i="2"/>
  <c r="AQ126" i="2"/>
  <c r="I191" i="2"/>
  <c r="Q157" i="2"/>
  <c r="AJ61" i="2"/>
  <c r="AJ62" i="2" s="1"/>
  <c r="AJ63" i="2" s="1"/>
  <c r="O171" i="2"/>
  <c r="O68" i="2"/>
  <c r="AU42" i="2"/>
  <c r="AV42" i="2" s="1"/>
  <c r="AJ68" i="2"/>
  <c r="AJ171" i="2"/>
  <c r="AJ47" i="2"/>
  <c r="AF81" i="2"/>
  <c r="AD216" i="2"/>
  <c r="AD196" i="2"/>
  <c r="AU41" i="2"/>
  <c r="AV41" i="2" s="1"/>
  <c r="AK113" i="2"/>
  <c r="AK112" i="2" s="1"/>
  <c r="AK282" i="2" s="1"/>
  <c r="AK284" i="2" s="1"/>
  <c r="R127" i="2"/>
  <c r="AF75" i="2"/>
  <c r="X75" i="2"/>
  <c r="AP47" i="2"/>
  <c r="V72" i="2"/>
  <c r="M47" i="2"/>
  <c r="AG68" i="2"/>
  <c r="AG171" i="2"/>
  <c r="L72" i="2"/>
  <c r="AU14" i="2"/>
  <c r="AV14" i="2" s="1"/>
  <c r="X113" i="2"/>
  <c r="X112" i="2" s="1"/>
  <c r="X282" i="2" s="1"/>
  <c r="S47" i="2"/>
  <c r="AJ72" i="2"/>
  <c r="AM75" i="2"/>
  <c r="AL284" i="2"/>
  <c r="S292" i="2"/>
  <c r="AI292" i="2"/>
  <c r="AM127" i="2"/>
  <c r="AI61" i="2"/>
  <c r="AI62" i="2" s="1"/>
  <c r="AI63" i="2" s="1"/>
  <c r="AA29" i="2"/>
  <c r="AU24" i="2"/>
  <c r="AV24" i="2" s="1"/>
  <c r="J61" i="2"/>
  <c r="J62" i="2" s="1"/>
  <c r="J63" i="2" s="1"/>
  <c r="P121" i="2"/>
  <c r="AG135" i="2"/>
  <c r="AG134" i="2" s="1"/>
  <c r="AG132" i="2" s="1"/>
  <c r="AQ107" i="2"/>
  <c r="H75" i="2"/>
  <c r="AK75" i="2"/>
  <c r="Q113" i="2"/>
  <c r="Q112" i="2" s="1"/>
  <c r="Q282" i="2" s="1"/>
  <c r="Q284" i="2" s="1"/>
  <c r="AU38" i="2"/>
  <c r="AV38" i="2" s="1"/>
  <c r="S61" i="2"/>
  <c r="S62" i="2" s="1"/>
  <c r="S63" i="2" s="1"/>
  <c r="J121" i="2"/>
  <c r="AD121" i="2"/>
  <c r="AS88" i="2"/>
  <c r="Y191" i="2"/>
  <c r="AF29" i="2"/>
  <c r="N68" i="2"/>
  <c r="N171" i="2"/>
  <c r="E191" i="2"/>
  <c r="R29" i="2"/>
  <c r="AR68" i="2"/>
  <c r="AR171" i="2"/>
  <c r="O75" i="2"/>
  <c r="O127" i="2"/>
  <c r="O126" i="2"/>
  <c r="AA61" i="2"/>
  <c r="AA62" i="2" s="1"/>
  <c r="AA63" i="2" s="1"/>
  <c r="AN88" i="2"/>
  <c r="S135" i="2"/>
  <c r="S134" i="2" s="1"/>
  <c r="AM196" i="2"/>
  <c r="AM237" i="2"/>
  <c r="AA107" i="2"/>
  <c r="E135" i="2"/>
  <c r="E134" i="2" s="1"/>
  <c r="AI47" i="2"/>
  <c r="X127" i="2"/>
  <c r="S217" i="2"/>
  <c r="AB97" i="2"/>
  <c r="H97" i="2"/>
  <c r="AN75" i="2"/>
  <c r="Y97" i="2"/>
  <c r="AE171" i="2"/>
  <c r="AE68" i="2"/>
  <c r="AB61" i="2"/>
  <c r="AB62" i="2" s="1"/>
  <c r="AB63" i="2" s="1"/>
  <c r="AA68" i="2"/>
  <c r="AA171" i="2"/>
  <c r="T61" i="2"/>
  <c r="T62" i="2" s="1"/>
  <c r="T63" i="2" s="1"/>
  <c r="G171" i="2"/>
  <c r="G68" i="2"/>
  <c r="AC127" i="2"/>
  <c r="N75" i="2"/>
  <c r="AR47" i="2"/>
  <c r="E72" i="2"/>
  <c r="E71" i="2" s="1"/>
  <c r="E67" i="2" s="1"/>
  <c r="AQ29" i="2"/>
  <c r="AL75" i="2"/>
  <c r="P81" i="2"/>
  <c r="H81" i="2"/>
  <c r="L81" i="2"/>
  <c r="AL121" i="2"/>
  <c r="L107" i="2"/>
  <c r="L114" i="2" s="1"/>
  <c r="AO191" i="2"/>
  <c r="Q29" i="2"/>
  <c r="AT68" i="2"/>
  <c r="AT171" i="2"/>
  <c r="H107" i="2"/>
  <c r="H114" i="2"/>
  <c r="AK191" i="2"/>
  <c r="M29" i="2"/>
  <c r="AL171" i="2"/>
  <c r="AL68" i="2"/>
  <c r="AN127" i="2"/>
  <c r="M72" i="2"/>
  <c r="AN113" i="2"/>
  <c r="AN112" i="2" s="1"/>
  <c r="AN282" i="2" s="1"/>
  <c r="T97" i="2"/>
  <c r="T88" i="2"/>
  <c r="F118" i="2"/>
  <c r="F128" i="2"/>
  <c r="F125" i="2"/>
  <c r="U118" i="2"/>
  <c r="U125" i="2"/>
  <c r="F88" i="2"/>
  <c r="G107" i="2"/>
  <c r="G114" i="2"/>
  <c r="S97" i="2"/>
  <c r="K154" i="2"/>
  <c r="N97" i="2"/>
  <c r="P97" i="2"/>
  <c r="H113" i="2"/>
  <c r="H112" i="2" s="1"/>
  <c r="H282" i="2" s="1"/>
  <c r="W113" i="2"/>
  <c r="W112" i="2" s="1"/>
  <c r="W282" i="2" s="1"/>
  <c r="W284" i="2" s="1"/>
  <c r="S191" i="2"/>
  <c r="T121" i="2"/>
  <c r="AP29" i="2"/>
  <c r="AK97" i="2"/>
  <c r="H127" i="2"/>
  <c r="I125" i="2"/>
  <c r="I118" i="2"/>
  <c r="L97" i="2"/>
  <c r="AT121" i="2"/>
  <c r="AF88" i="2"/>
  <c r="V118" i="2"/>
  <c r="V128" i="2"/>
  <c r="V125" i="2"/>
  <c r="X97" i="2"/>
  <c r="G97" i="2"/>
  <c r="AE154" i="2"/>
  <c r="R97" i="2"/>
  <c r="I75" i="2"/>
  <c r="E61" i="2"/>
  <c r="E62" i="2" s="1"/>
  <c r="E63" i="2" s="1"/>
  <c r="O88" i="2"/>
  <c r="AK125" i="2"/>
  <c r="AK118" i="2"/>
  <c r="R88" i="2"/>
  <c r="I81" i="2"/>
  <c r="AB88" i="2"/>
  <c r="Q125" i="2"/>
  <c r="Q118" i="2"/>
  <c r="AI191" i="2"/>
  <c r="P88" i="2"/>
  <c r="AN81" i="2"/>
  <c r="Y107" i="2"/>
  <c r="AB81" i="2"/>
  <c r="M107" i="2"/>
  <c r="K81" i="2"/>
  <c r="AB107" i="2"/>
  <c r="N81" i="2"/>
  <c r="M97" i="2"/>
  <c r="O72" i="2"/>
  <c r="F47" i="2"/>
  <c r="F127" i="2"/>
  <c r="AG63" i="2"/>
  <c r="AG29" i="2"/>
  <c r="AJ191" i="2"/>
  <c r="W81" i="2"/>
  <c r="AN107" i="2"/>
  <c r="AN114" i="2"/>
  <c r="Z81" i="2"/>
  <c r="AA72" i="2"/>
  <c r="R47" i="2"/>
  <c r="AS29" i="2"/>
  <c r="R72" i="2"/>
  <c r="AJ81" i="2"/>
  <c r="U107" i="2"/>
  <c r="AQ135" i="2"/>
  <c r="AQ134" i="2" s="1"/>
  <c r="AQ132" i="2" s="1"/>
  <c r="AP127" i="2"/>
  <c r="M127" i="2"/>
  <c r="AO97" i="2"/>
  <c r="AG235" i="2"/>
  <c r="AG113" i="2"/>
  <c r="AG112" i="2" s="1"/>
  <c r="AG282" i="2" s="1"/>
  <c r="AG284" i="2" s="1"/>
  <c r="N173" i="2"/>
  <c r="N215" i="2"/>
  <c r="AI234" i="2"/>
  <c r="AI193" i="2"/>
  <c r="AS61" i="2"/>
  <c r="AS62" i="2" s="1"/>
  <c r="AS63" i="2" s="1"/>
  <c r="AC113" i="2"/>
  <c r="AC112" i="2" s="1"/>
  <c r="AC282" i="2" s="1"/>
  <c r="AO88" i="2"/>
  <c r="AQ97" i="2"/>
  <c r="AL97" i="2"/>
  <c r="AP121" i="2"/>
  <c r="AC75" i="2"/>
  <c r="Y61" i="2"/>
  <c r="Y62" i="2" s="1"/>
  <c r="Y63" i="2" s="1"/>
  <c r="I113" i="2"/>
  <c r="I112" i="2" s="1"/>
  <c r="I282" i="2" s="1"/>
  <c r="I284" i="2" s="1"/>
  <c r="O61" i="2"/>
  <c r="O62" i="2" s="1"/>
  <c r="O63" i="2" s="1"/>
  <c r="AH171" i="2"/>
  <c r="AH68" i="2"/>
  <c r="K107" i="2"/>
  <c r="AT47" i="2"/>
  <c r="AU48" i="2"/>
  <c r="AT127" i="2"/>
  <c r="AG127" i="2"/>
  <c r="AE81" i="2"/>
  <c r="AH81" i="2"/>
  <c r="AI72" i="2"/>
  <c r="Z47" i="2"/>
  <c r="Z127" i="2"/>
  <c r="AH72" i="2"/>
  <c r="F72" i="2"/>
  <c r="F71" i="2" s="1"/>
  <c r="T29" i="2"/>
  <c r="AJ113" i="2"/>
  <c r="AJ112" i="2" s="1"/>
  <c r="AJ282" i="2" s="1"/>
  <c r="R61" i="2"/>
  <c r="R62" i="2" s="1"/>
  <c r="R63" i="2" s="1"/>
  <c r="U127" i="2"/>
  <c r="W47" i="2"/>
  <c r="AD75" i="2"/>
  <c r="G47" i="2"/>
  <c r="AM81" i="2"/>
  <c r="M135" i="2"/>
  <c r="M134" i="2" s="1"/>
  <c r="AP81" i="2"/>
  <c r="AQ72" i="2"/>
  <c r="AH47" i="2"/>
  <c r="AH127" i="2"/>
  <c r="AK107" i="2"/>
  <c r="AK114" i="2" s="1"/>
  <c r="AI81" i="2"/>
  <c r="AL81" i="2"/>
  <c r="AM72" i="2"/>
  <c r="AM71" i="2" s="1"/>
  <c r="AD47" i="2"/>
  <c r="AD127" i="2"/>
  <c r="AP72" i="2"/>
  <c r="O81" i="2"/>
  <c r="AF107" i="2"/>
  <c r="R81" i="2"/>
  <c r="AC97" i="2"/>
  <c r="S72" i="2"/>
  <c r="J47" i="2"/>
  <c r="J127" i="2"/>
  <c r="AK29" i="2"/>
  <c r="AR191" i="2"/>
  <c r="AF191" i="2"/>
  <c r="AI127" i="2"/>
  <c r="P113" i="2"/>
  <c r="P112" i="2" s="1"/>
  <c r="P282" i="2" s="1"/>
  <c r="AB171" i="2"/>
  <c r="AB68" i="2"/>
  <c r="I97" i="2"/>
  <c r="AJ29" i="2"/>
  <c r="K113" i="2"/>
  <c r="K112" i="2" s="1"/>
  <c r="K282" i="2" s="1"/>
  <c r="K284" i="2" s="1"/>
  <c r="AQ88" i="2"/>
  <c r="AF126" i="2"/>
  <c r="AT88" i="2"/>
  <c r="AQ68" i="2"/>
  <c r="AQ171" i="2"/>
  <c r="AQ212" i="2" s="1"/>
  <c r="AQ249" i="2" s="1"/>
  <c r="W88" i="2"/>
  <c r="F126" i="2"/>
  <c r="Z88" i="2"/>
  <c r="AO81" i="2"/>
  <c r="W68" i="2"/>
  <c r="W171" i="2"/>
  <c r="L61" i="2"/>
  <c r="L62" i="2" s="1"/>
  <c r="L63" i="2" s="1"/>
  <c r="N238" i="2"/>
  <c r="AD191" i="2"/>
  <c r="V29" i="2"/>
  <c r="AU45" i="2"/>
  <c r="AV45" i="2" s="1"/>
  <c r="AB75" i="2"/>
  <c r="Z113" i="2"/>
  <c r="Z112" i="2" s="1"/>
  <c r="Z282" i="2" s="1"/>
  <c r="AN191" i="2"/>
  <c r="O113" i="2"/>
  <c r="O112" i="2" s="1"/>
  <c r="O282" i="2" s="1"/>
  <c r="O284" i="2" s="1"/>
  <c r="AD128" i="2"/>
  <c r="AD118" i="2"/>
  <c r="AD125" i="2"/>
  <c r="AK127" i="2"/>
  <c r="AU11" i="2"/>
  <c r="AV11" i="2" s="1"/>
  <c r="X171" i="2"/>
  <c r="X68" i="2"/>
  <c r="AM157" i="2"/>
  <c r="J173" i="2"/>
  <c r="J215" i="2"/>
  <c r="AO215" i="2"/>
  <c r="AO173" i="2"/>
  <c r="AO172" i="2" s="1"/>
  <c r="V113" i="2"/>
  <c r="V112" i="2" s="1"/>
  <c r="V282" i="2" s="1"/>
  <c r="J191" i="2"/>
  <c r="AU37" i="2"/>
  <c r="AV37" i="2" s="1"/>
  <c r="AQ121" i="2"/>
  <c r="AG191" i="2"/>
  <c r="I29" i="2"/>
  <c r="AD68" i="2"/>
  <c r="AD171" i="2"/>
  <c r="H121" i="2"/>
  <c r="M191" i="2"/>
  <c r="U193" i="2"/>
  <c r="U234" i="2"/>
  <c r="Z171" i="2"/>
  <c r="Z68" i="2"/>
  <c r="AI107" i="2"/>
  <c r="AI114" i="2" s="1"/>
  <c r="AJ127" i="2"/>
  <c r="Z75" i="2"/>
  <c r="G127" i="2"/>
  <c r="V121" i="2"/>
  <c r="AC88" i="2"/>
  <c r="U191" i="2"/>
  <c r="P29" i="2"/>
  <c r="F171" i="2"/>
  <c r="F68" i="2"/>
  <c r="AM126" i="2"/>
  <c r="O121" i="2"/>
  <c r="M88" i="2"/>
  <c r="Q191" i="2"/>
  <c r="AM88" i="2"/>
  <c r="AA126" i="2"/>
  <c r="AP88" i="2"/>
  <c r="AM171" i="2"/>
  <c r="AM212" i="2" s="1"/>
  <c r="AM249" i="2" s="1"/>
  <c r="AM68" i="2"/>
  <c r="AR61" i="2"/>
  <c r="AR62" i="2" s="1"/>
  <c r="AR63" i="2" s="1"/>
  <c r="X29" i="2"/>
  <c r="E81" i="2"/>
  <c r="J171" i="2"/>
  <c r="J68" i="2"/>
  <c r="W127" i="2"/>
  <c r="AO72" i="2"/>
  <c r="AO71" i="2" s="1"/>
  <c r="AF47" i="2"/>
  <c r="O249" i="2"/>
  <c r="N216" i="2"/>
  <c r="AS113" i="2"/>
  <c r="AS112" i="2" s="1"/>
  <c r="AS282" i="2" s="1"/>
  <c r="AS284" i="2" s="1"/>
  <c r="E217" i="2"/>
  <c r="L135" i="2"/>
  <c r="L134" i="2" s="1"/>
  <c r="AS75" i="2"/>
  <c r="AO61" i="2"/>
  <c r="AO62" i="2" s="1"/>
  <c r="AO63" i="2" s="1"/>
  <c r="Y113" i="2"/>
  <c r="Y112" i="2" s="1"/>
  <c r="Y282" i="2" s="1"/>
  <c r="Y284" i="2" s="1"/>
  <c r="I88" i="2"/>
  <c r="T118" i="2"/>
  <c r="T128" i="2"/>
  <c r="T125" i="2"/>
  <c r="T75" i="2"/>
  <c r="P61" i="2"/>
  <c r="P62" i="2" s="1"/>
  <c r="P63" i="2" s="1"/>
  <c r="AI75" i="2"/>
  <c r="U97" i="2"/>
  <c r="X61" i="2"/>
  <c r="X62" i="2" s="1"/>
  <c r="X63" i="2" s="1"/>
  <c r="N61" i="2"/>
  <c r="N62" i="2" s="1"/>
  <c r="N63" i="2" s="1"/>
  <c r="AN61" i="2"/>
  <c r="AN62" i="2" s="1"/>
  <c r="AN63" i="2" s="1"/>
  <c r="AA113" i="2"/>
  <c r="AA112" i="2" s="1"/>
  <c r="AA282" i="2" s="1"/>
  <c r="AA284" i="2" s="1"/>
  <c r="AH191" i="2"/>
  <c r="AS216" i="2"/>
  <c r="O237" i="2"/>
  <c r="O196" i="2"/>
  <c r="K249" i="2"/>
  <c r="AI157" i="2"/>
  <c r="G81" i="2"/>
  <c r="X107" i="2"/>
  <c r="X114" i="2"/>
  <c r="J81" i="2"/>
  <c r="K72" i="2"/>
  <c r="AC29" i="2"/>
  <c r="AB191" i="2"/>
  <c r="T81" i="2"/>
  <c r="E107" i="2"/>
  <c r="E114" i="2"/>
  <c r="T107" i="2"/>
  <c r="F81" i="2"/>
  <c r="G72" i="2"/>
  <c r="Y29" i="2"/>
  <c r="T191" i="2"/>
  <c r="AJ121" i="2"/>
  <c r="AC191" i="2"/>
  <c r="E29" i="2"/>
  <c r="AR29" i="2"/>
  <c r="V68" i="2"/>
  <c r="V171" i="2"/>
  <c r="AP171" i="2"/>
  <c r="AP68" i="2"/>
  <c r="AA75" i="2"/>
  <c r="K88" i="2"/>
  <c r="AF118" i="2"/>
  <c r="AF125" i="2"/>
  <c r="AF128" i="2"/>
  <c r="N88" i="2"/>
  <c r="K68" i="2"/>
  <c r="K171" i="2"/>
  <c r="E128" i="2"/>
  <c r="E125" i="2"/>
  <c r="E118" i="2"/>
  <c r="AG81" i="2"/>
  <c r="AD61" i="2"/>
  <c r="AD62" i="2" s="1"/>
  <c r="AD63" i="2" s="1"/>
  <c r="I47" i="2"/>
  <c r="Y68" i="2"/>
  <c r="Y171" i="2"/>
  <c r="AU19" i="2"/>
  <c r="AV19" i="2" s="1"/>
  <c r="AT72" i="2"/>
  <c r="AO47" i="2"/>
  <c r="AM191" i="2"/>
  <c r="W29" i="2"/>
  <c r="P128" i="2"/>
  <c r="P118" i="2"/>
  <c r="P125" i="2"/>
  <c r="L88" i="2"/>
  <c r="U249" i="2"/>
  <c r="R284" i="2"/>
  <c r="J118" i="2"/>
  <c r="J125" i="2"/>
  <c r="J128" i="2"/>
  <c r="AO113" i="2"/>
  <c r="AO112" i="2" s="1"/>
  <c r="AO282" i="2" s="1"/>
  <c r="AO284" i="2" s="1"/>
  <c r="F121" i="2"/>
  <c r="AJ75" i="2"/>
  <c r="AF61" i="2"/>
  <c r="AF62" i="2" s="1"/>
  <c r="AF63" i="2" s="1"/>
  <c r="AU27" i="2"/>
  <c r="AV27" i="2" s="1"/>
  <c r="L29" i="2"/>
  <c r="N72" i="2"/>
  <c r="N71" i="2" s="1"/>
  <c r="N67" i="2" s="1"/>
  <c r="N87" i="2" s="1"/>
  <c r="N91" i="2" s="1"/>
  <c r="N93" i="2" s="1"/>
  <c r="N95" i="2" s="1"/>
  <c r="E47" i="2"/>
  <c r="Q171" i="2"/>
  <c r="Q68" i="2"/>
  <c r="J97" i="2"/>
  <c r="P75" i="2"/>
  <c r="AL72" i="2"/>
  <c r="AL71" i="2" s="1"/>
  <c r="AC47" i="2"/>
  <c r="W191" i="2"/>
  <c r="G29" i="2"/>
  <c r="AQ113" i="2"/>
  <c r="AQ112" i="2" s="1"/>
  <c r="AQ282" i="2" s="1"/>
  <c r="AQ284" i="2" s="1"/>
  <c r="AP113" i="2"/>
  <c r="AP112" i="2" s="1"/>
  <c r="AP282" i="2" s="1"/>
  <c r="AS47" i="2"/>
  <c r="I72" i="2"/>
  <c r="AE29" i="2"/>
  <c r="E88" i="2"/>
  <c r="W235" i="2"/>
  <c r="AL135" i="2"/>
  <c r="AL134" i="2" s="1"/>
  <c r="AL132" i="2" s="1"/>
  <c r="S216" i="2"/>
  <c r="Y249" i="2"/>
  <c r="J196" i="2"/>
  <c r="J237" i="2"/>
  <c r="H68" i="2"/>
  <c r="H171" i="2"/>
  <c r="Y47" i="2"/>
  <c r="O191" i="2"/>
  <c r="AO127" i="2"/>
  <c r="AU33" i="2"/>
  <c r="AV33" i="2" s="1"/>
  <c r="AE97" i="2"/>
  <c r="AP97" i="2"/>
  <c r="AG75" i="2"/>
  <c r="AC61" i="2"/>
  <c r="AC62" i="2" s="1"/>
  <c r="AC63" i="2" s="1"/>
  <c r="M113" i="2"/>
  <c r="M112" i="2" s="1"/>
  <c r="M282" i="2" s="1"/>
  <c r="M284" i="2" s="1"/>
  <c r="AA97" i="2"/>
  <c r="V97" i="2"/>
  <c r="Y118" i="2"/>
  <c r="Y125" i="2"/>
  <c r="M75" i="2"/>
  <c r="I61" i="2"/>
  <c r="I62" i="2" s="1"/>
  <c r="I63" i="2" s="1"/>
  <c r="AU40" i="2"/>
  <c r="AV40" i="2" s="1"/>
  <c r="Y127" i="2"/>
  <c r="Y128" i="2" s="1"/>
  <c r="AN47" i="2"/>
  <c r="AG97" i="2"/>
  <c r="AF72" i="2"/>
  <c r="AF71" i="2" s="1"/>
  <c r="H29" i="2"/>
  <c r="P72" i="2"/>
  <c r="P71" i="2" s="1"/>
  <c r="AI97" i="2"/>
  <c r="X157" i="2"/>
  <c r="AD97" i="2"/>
  <c r="Z126" i="2"/>
  <c r="U75" i="2"/>
  <c r="Q61" i="2"/>
  <c r="Q62" i="2" s="1"/>
  <c r="Q63" i="2" s="1"/>
  <c r="AF97" i="2"/>
  <c r="S154" i="2"/>
  <c r="O97" i="2"/>
  <c r="Z97" i="2"/>
  <c r="AT125" i="2"/>
  <c r="AT128" i="2"/>
  <c r="AT118" i="2"/>
  <c r="Q75" i="2"/>
  <c r="M61" i="2"/>
  <c r="M62" i="2" s="1"/>
  <c r="M63" i="2" s="1"/>
  <c r="F97" i="2"/>
  <c r="Q72" i="2"/>
  <c r="H47" i="2"/>
  <c r="AM29" i="2"/>
  <c r="AM47" i="2"/>
  <c r="AB127" i="2"/>
  <c r="Q127" i="2"/>
  <c r="S81" i="2"/>
  <c r="AJ107" i="2"/>
  <c r="AJ114" i="2" s="1"/>
  <c r="V81" i="2"/>
  <c r="AS97" i="2"/>
  <c r="W72" i="2"/>
  <c r="W71" i="2" s="1"/>
  <c r="N47" i="2"/>
  <c r="N127" i="2"/>
  <c r="AO29" i="2"/>
  <c r="J72" i="2"/>
  <c r="P107" i="2"/>
  <c r="P114" i="2" s="1"/>
  <c r="AS191" i="2"/>
  <c r="U29" i="2"/>
  <c r="L191" i="2"/>
  <c r="Y88" i="2"/>
  <c r="P191" i="2"/>
  <c r="W61" i="2"/>
  <c r="W62" i="2" s="1"/>
  <c r="W63" i="2" s="1"/>
  <c r="AU16" i="2"/>
  <c r="AV16" i="2" s="1"/>
  <c r="T126" i="2"/>
  <c r="Z29" i="2"/>
  <c r="AR75" i="2"/>
  <c r="Q47" i="2"/>
  <c r="AO171" i="2"/>
  <c r="AO212" i="2" s="1"/>
  <c r="AO249" i="2" s="1"/>
  <c r="AO68" i="2"/>
  <c r="AO67" i="2" s="1"/>
  <c r="AH284" i="2"/>
  <c r="AS215" i="2"/>
  <c r="AS173" i="2"/>
  <c r="AS172" i="2" s="1"/>
  <c r="S235" i="2"/>
  <c r="AH135" i="2"/>
  <c r="AH134" i="2" s="1"/>
  <c r="O216" i="2"/>
  <c r="S127" i="2"/>
  <c r="E127" i="2"/>
  <c r="W107" i="2"/>
  <c r="W114" i="2"/>
  <c r="AG72" i="2"/>
  <c r="X47" i="2"/>
  <c r="AJ128" i="2"/>
  <c r="AJ125" i="2"/>
  <c r="AJ118" i="2"/>
  <c r="AU15" i="2"/>
  <c r="AV15" i="2" s="1"/>
  <c r="AQ47" i="2"/>
  <c r="K127" i="2"/>
  <c r="AS237" i="2"/>
  <c r="AS196" i="2"/>
  <c r="AM238" i="2"/>
  <c r="Q121" i="2"/>
  <c r="K234" i="2"/>
  <c r="AF157" i="2"/>
  <c r="AC217" i="2"/>
  <c r="M249" i="2"/>
  <c r="AA215" i="2"/>
  <c r="AA173" i="2"/>
  <c r="V191" i="2"/>
  <c r="AB29" i="2"/>
  <c r="I171" i="2"/>
  <c r="I68" i="2"/>
  <c r="F113" i="2"/>
  <c r="F112" i="2" s="1"/>
  <c r="F282" i="2" s="1"/>
  <c r="AP61" i="2"/>
  <c r="AP62" i="2" s="1"/>
  <c r="AP63" i="2" s="1"/>
  <c r="AA135" i="2"/>
  <c r="AA134" i="2" s="1"/>
  <c r="AL61" i="2"/>
  <c r="AL62" i="2" s="1"/>
  <c r="AL63" i="2" s="1"/>
  <c r="AC173" i="2"/>
  <c r="AC172" i="2" s="1"/>
  <c r="AC170" i="2" s="1"/>
  <c r="AC215" i="2"/>
  <c r="AH157" i="2"/>
  <c r="Z235" i="2"/>
  <c r="AR193" i="2"/>
  <c r="I235" i="2"/>
  <c r="S157" i="2"/>
  <c r="R135" i="2"/>
  <c r="R134" i="2" s="1"/>
  <c r="AN173" i="2"/>
  <c r="O238" i="2"/>
  <c r="O135" i="2"/>
  <c r="O134" i="2" s="1"/>
  <c r="AR113" i="2"/>
  <c r="AR112" i="2" s="1"/>
  <c r="AR282" i="2" s="1"/>
  <c r="AU20" i="2"/>
  <c r="AV20" i="2" s="1"/>
  <c r="L75" i="2"/>
  <c r="H61" i="2"/>
  <c r="H62" i="2" s="1"/>
  <c r="H63" i="2" s="1"/>
  <c r="S75" i="2"/>
  <c r="AO217" i="2"/>
  <c r="AE126" i="2"/>
  <c r="F61" i="2"/>
  <c r="F62" i="2" s="1"/>
  <c r="F63" i="2" s="1"/>
  <c r="M173" i="2"/>
  <c r="M215" i="2"/>
  <c r="M235" i="2"/>
  <c r="R157" i="2"/>
  <c r="AB234" i="2"/>
  <c r="AB193" i="2"/>
  <c r="AC234" i="2"/>
  <c r="AC193" i="2"/>
  <c r="X173" i="2"/>
  <c r="X215" i="2"/>
  <c r="F235" i="2"/>
  <c r="AN72" i="2"/>
  <c r="AN71" i="2" s="1"/>
  <c r="AE47" i="2"/>
  <c r="AQ75" i="2"/>
  <c r="AU12" i="2"/>
  <c r="AV12" i="2" s="1"/>
  <c r="G113" i="2"/>
  <c r="G112" i="2" s="1"/>
  <c r="G282" i="2" s="1"/>
  <c r="G284" i="2" s="1"/>
  <c r="P234" i="2"/>
  <c r="M234" i="2"/>
  <c r="I154" i="2"/>
  <c r="AJ196" i="2"/>
  <c r="O217" i="2"/>
  <c r="X234" i="2"/>
  <c r="X193" i="2"/>
  <c r="W193" i="2"/>
  <c r="W234" i="2"/>
  <c r="P154" i="2"/>
  <c r="G215" i="2"/>
  <c r="G173" i="2"/>
  <c r="L157" i="2"/>
  <c r="AD107" i="2"/>
  <c r="AD114" i="2" s="1"/>
  <c r="J107" i="2"/>
  <c r="J114" i="2"/>
  <c r="AK216" i="2"/>
  <c r="Y121" i="2"/>
  <c r="W135" i="2"/>
  <c r="W134" i="2" s="1"/>
  <c r="AM217" i="2"/>
  <c r="M157" i="2"/>
  <c r="X135" i="2"/>
  <c r="X134" i="2" s="1"/>
  <c r="AT157" i="2"/>
  <c r="U238" i="2"/>
  <c r="V61" i="2"/>
  <c r="V62" i="2" s="1"/>
  <c r="V63" i="2" s="1"/>
  <c r="AR127" i="2"/>
  <c r="AP75" i="2"/>
  <c r="AC237" i="2"/>
  <c r="AC196" i="2"/>
  <c r="R238" i="2"/>
  <c r="AG217" i="2"/>
  <c r="AP154" i="2"/>
  <c r="T217" i="2"/>
  <c r="G217" i="2"/>
  <c r="AK154" i="2"/>
  <c r="AG238" i="2"/>
  <c r="AF171" i="2"/>
  <c r="AF68" i="2"/>
  <c r="AL113" i="2"/>
  <c r="AL112" i="2" s="1"/>
  <c r="AL282" i="2" s="1"/>
  <c r="AR72" i="2"/>
  <c r="AR71" i="2" s="1"/>
  <c r="AR67" i="2" s="1"/>
  <c r="AR87" i="2" s="1"/>
  <c r="AR91" i="2" s="1"/>
  <c r="AR93" i="2" s="1"/>
  <c r="AR95" i="2" s="1"/>
  <c r="T113" i="2"/>
  <c r="T112" i="2" s="1"/>
  <c r="T282" i="2" s="1"/>
  <c r="AD72" i="2"/>
  <c r="AD71" i="2" s="1"/>
  <c r="AD67" i="2" s="1"/>
  <c r="AD87" i="2" s="1"/>
  <c r="AD91" i="2" s="1"/>
  <c r="AD93" i="2" s="1"/>
  <c r="AD95" i="2" s="1"/>
  <c r="U47" i="2"/>
  <c r="G191" i="2"/>
  <c r="AF113" i="2"/>
  <c r="AF112" i="2" s="1"/>
  <c r="AF282" i="2" s="1"/>
  <c r="T72" i="2"/>
  <c r="T71" i="2" s="1"/>
  <c r="L127" i="2"/>
  <c r="M196" i="2"/>
  <c r="M237" i="2"/>
  <c r="AL196" i="2"/>
  <c r="K217" i="2"/>
  <c r="AF154" i="2"/>
  <c r="AF216" i="2"/>
  <c r="U154" i="2"/>
  <c r="K238" i="2"/>
  <c r="U157" i="2"/>
  <c r="V216" i="2"/>
  <c r="AG47" i="2"/>
  <c r="AE191" i="2"/>
  <c r="O29" i="2"/>
  <c r="V75" i="2"/>
  <c r="P171" i="2"/>
  <c r="P68" i="2"/>
  <c r="AQ292" i="2"/>
  <c r="T216" i="2"/>
  <c r="AI216" i="2"/>
  <c r="E154" i="2"/>
  <c r="AE237" i="2"/>
  <c r="AE196" i="2"/>
  <c r="G154" i="2"/>
  <c r="E173" i="2"/>
  <c r="E215" i="2"/>
  <c r="AO121" i="2"/>
  <c r="AP196" i="2"/>
  <c r="W215" i="2"/>
  <c r="W173" i="2"/>
  <c r="AB154" i="2"/>
  <c r="Y238" i="2"/>
  <c r="I249" i="2"/>
  <c r="V193" i="2"/>
  <c r="V234" i="2"/>
  <c r="R216" i="2"/>
  <c r="U135" i="2"/>
  <c r="U134" i="2" s="1"/>
  <c r="Y235" i="2"/>
  <c r="K216" i="2"/>
  <c r="AD154" i="2"/>
  <c r="X191" i="2"/>
  <c r="AM61" i="2"/>
  <c r="AM62" i="2" s="1"/>
  <c r="AM63" i="2" s="1"/>
  <c r="J75" i="2"/>
  <c r="AN29" i="2"/>
  <c r="AK81" i="2"/>
  <c r="R68" i="2"/>
  <c r="R171" i="2"/>
  <c r="T127" i="2"/>
  <c r="K75" i="2"/>
  <c r="X72" i="2"/>
  <c r="X71" i="2" s="1"/>
  <c r="X67" i="2" s="1"/>
  <c r="X87" i="2" s="1"/>
  <c r="X91" i="2" s="1"/>
  <c r="X93" i="2" s="1"/>
  <c r="X95" i="2" s="1"/>
  <c r="O47" i="2"/>
  <c r="AQ215" i="2"/>
  <c r="AQ173" i="2"/>
  <c r="AQ172" i="2" s="1"/>
  <c r="AO196" i="2"/>
  <c r="AO237" i="2"/>
  <c r="M121" i="2"/>
  <c r="F234" i="2"/>
  <c r="I157" i="2"/>
  <c r="I127" i="2"/>
  <c r="AT61" i="2"/>
  <c r="AT62" i="2" s="1"/>
  <c r="AH75" i="2"/>
  <c r="G235" i="2"/>
  <c r="N235" i="2"/>
  <c r="W157" i="2"/>
  <c r="V135" i="2"/>
  <c r="V134" i="2" s="1"/>
  <c r="AR173" i="2"/>
  <c r="AK238" i="2"/>
  <c r="Y135" i="2"/>
  <c r="Y134" i="2" s="1"/>
  <c r="Y215" i="2"/>
  <c r="Y173" i="2"/>
  <c r="AC235" i="2"/>
  <c r="AD157" i="2"/>
  <c r="AO234" i="2"/>
  <c r="AO193" i="2"/>
  <c r="AO192" i="2" s="1"/>
  <c r="AU26" i="2"/>
  <c r="AV26" i="2" s="1"/>
  <c r="AG88" i="2"/>
  <c r="H191" i="2"/>
  <c r="AJ126" i="2"/>
  <c r="G61" i="2"/>
  <c r="G62" i="2" s="1"/>
  <c r="G63" i="2" s="1"/>
  <c r="AU35" i="2"/>
  <c r="AV35" i="2" s="1"/>
  <c r="AF193" i="2"/>
  <c r="AH193" i="2"/>
  <c r="G157" i="2"/>
  <c r="F135" i="2"/>
  <c r="F134" i="2" s="1"/>
  <c r="AB173" i="2"/>
  <c r="AB215" i="2"/>
  <c r="AB235" i="2"/>
  <c r="I215" i="2"/>
  <c r="I173" i="2"/>
  <c r="AS121" i="2"/>
  <c r="H235" i="2"/>
  <c r="N157" i="2"/>
  <c r="Q216" i="2"/>
  <c r="AE107" i="2"/>
  <c r="AA127" i="2"/>
  <c r="AN135" i="2"/>
  <c r="AN134" i="2" s="1"/>
  <c r="AN132" i="2" s="1"/>
  <c r="AE61" i="2"/>
  <c r="AE62" i="2" s="1"/>
  <c r="AE63" i="2" s="1"/>
  <c r="Q97" i="2"/>
  <c r="AQ127" i="2"/>
  <c r="T238" i="2"/>
  <c r="S249" i="2"/>
  <c r="AI235" i="2"/>
  <c r="K196" i="2"/>
  <c r="K237" i="2"/>
  <c r="AE216" i="2"/>
  <c r="H237" i="2"/>
  <c r="X216" i="2"/>
  <c r="AA249" i="2"/>
  <c r="AB121" i="2"/>
  <c r="AS126" i="2"/>
  <c r="AC157" i="2"/>
  <c r="I216" i="2"/>
  <c r="E249" i="2"/>
  <c r="AE157" i="2"/>
  <c r="R75" i="2"/>
  <c r="N29" i="2"/>
  <c r="AL191" i="2"/>
  <c r="AD29" i="2"/>
  <c r="X217" i="2"/>
  <c r="M217" i="2"/>
  <c r="AO154" i="2"/>
  <c r="AN196" i="2"/>
  <c r="Y237" i="2"/>
  <c r="Y196" i="2"/>
  <c r="M238" i="2"/>
  <c r="AA217" i="2"/>
  <c r="Z154" i="2"/>
  <c r="N191" i="2"/>
  <c r="F29" i="2"/>
  <c r="AD173" i="2"/>
  <c r="AD215" i="2"/>
  <c r="AS127" i="2"/>
  <c r="AK88" i="2"/>
  <c r="AN171" i="2"/>
  <c r="AN68" i="2"/>
  <c r="AN67" i="2" s="1"/>
  <c r="AN87" i="2" s="1"/>
  <c r="AN91" i="2" s="1"/>
  <c r="AN93" i="2" s="1"/>
  <c r="AN95" i="2" s="1"/>
  <c r="Y72" i="2"/>
  <c r="Y71" i="2" s="1"/>
  <c r="P47" i="2"/>
  <c r="M81" i="2"/>
  <c r="AB113" i="2"/>
  <c r="AB112" i="2" s="1"/>
  <c r="AB282" i="2" s="1"/>
  <c r="F191" i="2"/>
  <c r="J113" i="2"/>
  <c r="J112" i="2" s="1"/>
  <c r="J282" i="2" s="1"/>
  <c r="H217" i="2"/>
  <c r="Y154" i="2"/>
  <c r="Q238" i="2"/>
  <c r="AK157" i="2"/>
  <c r="N217" i="2"/>
  <c r="I237" i="2"/>
  <c r="I196" i="2"/>
  <c r="AF196" i="2"/>
  <c r="F217" i="2"/>
  <c r="X154" i="2"/>
  <c r="AR196" i="2"/>
  <c r="AT191" i="2"/>
  <c r="AL29" i="2"/>
  <c r="AC81" i="2"/>
  <c r="AM235" i="2"/>
  <c r="P237" i="2"/>
  <c r="P196" i="2"/>
  <c r="N234" i="2"/>
  <c r="P216" i="2"/>
  <c r="AB238" i="2"/>
  <c r="AG249" i="2"/>
  <c r="AQ216" i="2"/>
  <c r="M154" i="2"/>
  <c r="Z284" i="2"/>
  <c r="L238" i="2"/>
  <c r="W249" i="2"/>
  <c r="T154" i="2"/>
  <c r="AB237" i="2"/>
  <c r="AB196" i="2"/>
  <c r="O235" i="2"/>
  <c r="AD135" i="2"/>
  <c r="AD134" i="2" s="1"/>
  <c r="AG121" i="2"/>
  <c r="AG234" i="2"/>
  <c r="AG193" i="2"/>
  <c r="L234" i="2"/>
  <c r="G234" i="2"/>
  <c r="H215" i="2"/>
  <c r="H173" i="2"/>
  <c r="J217" i="2"/>
  <c r="H72" i="2"/>
  <c r="H71" i="2" s="1"/>
  <c r="H67" i="2" s="1"/>
  <c r="H87" i="2" s="1"/>
  <c r="H91" i="2" s="1"/>
  <c r="H93" i="2" s="1"/>
  <c r="H95" i="2" s="1"/>
  <c r="AB216" i="2"/>
  <c r="Q154" i="2"/>
  <c r="Q153" i="2" s="1"/>
  <c r="F238" i="2"/>
  <c r="Z193" i="2"/>
  <c r="Z234" i="2"/>
  <c r="AK121" i="2"/>
  <c r="F157" i="2"/>
  <c r="I217" i="2"/>
  <c r="AQ118" i="2"/>
  <c r="AQ128" i="2" s="1"/>
  <c r="AQ125" i="2"/>
  <c r="T284" i="2"/>
  <c r="W118" i="2"/>
  <c r="W125" i="2"/>
  <c r="AI238" i="2"/>
  <c r="R121" i="2"/>
  <c r="V107" i="2"/>
  <c r="V114" i="2" s="1"/>
  <c r="AK126" i="2"/>
  <c r="Y216" i="2"/>
  <c r="H216" i="2"/>
  <c r="Y157" i="2"/>
  <c r="I238" i="2"/>
  <c r="G121" i="2"/>
  <c r="N107" i="2"/>
  <c r="AC126" i="2"/>
  <c r="AA292" i="2"/>
  <c r="V173" i="2"/>
  <c r="V215" i="2"/>
  <c r="G249" i="2"/>
  <c r="K215" i="2"/>
  <c r="K173" i="2"/>
  <c r="J284" i="2"/>
  <c r="E121" i="2"/>
  <c r="F215" i="2"/>
  <c r="F173" i="2"/>
  <c r="K125" i="2"/>
  <c r="K118" i="2"/>
  <c r="AC292" i="2"/>
  <c r="L235" i="2"/>
  <c r="Y126" i="2"/>
  <c r="AH107" i="2"/>
  <c r="AH114" i="2" s="1"/>
  <c r="AM193" i="2"/>
  <c r="AM192" i="2" s="1"/>
  <c r="AM234" i="2"/>
  <c r="AF215" i="2"/>
  <c r="AF173" i="2"/>
  <c r="G237" i="2"/>
  <c r="AE135" i="2"/>
  <c r="AE134" i="2" s="1"/>
  <c r="AB157" i="2"/>
  <c r="AN121" i="2"/>
  <c r="AT292" i="2"/>
  <c r="AN292" i="2"/>
  <c r="AT126" i="2"/>
  <c r="Z292" i="2"/>
  <c r="AI217" i="2"/>
  <c r="G135" i="2"/>
  <c r="G134" i="2" s="1"/>
  <c r="X235" i="2"/>
  <c r="K157" i="2"/>
  <c r="N196" i="2"/>
  <c r="N237" i="2"/>
  <c r="R154" i="2"/>
  <c r="R153" i="2" s="1"/>
  <c r="AM292" i="2"/>
  <c r="L215" i="2"/>
  <c r="L173" i="2"/>
  <c r="AE217" i="2"/>
  <c r="P238" i="2"/>
  <c r="AC121" i="2"/>
  <c r="AA193" i="2"/>
  <c r="AA234" i="2"/>
  <c r="AK135" i="2"/>
  <c r="AK134" i="2" s="1"/>
  <c r="AK132" i="2" s="1"/>
  <c r="E237" i="2"/>
  <c r="AA196" i="2"/>
  <c r="AA237" i="2"/>
  <c r="T215" i="2"/>
  <c r="T173" i="2"/>
  <c r="X238" i="2"/>
  <c r="AL193" i="2"/>
  <c r="AL192" i="2" s="1"/>
  <c r="AL207" i="2" s="1"/>
  <c r="O173" i="2"/>
  <c r="O215" i="2"/>
  <c r="O154" i="2"/>
  <c r="AD126" i="2"/>
  <c r="N292" i="2"/>
  <c r="AS118" i="2"/>
  <c r="AS125" i="2"/>
  <c r="AS128" i="2"/>
  <c r="AE235" i="2"/>
  <c r="F237" i="2"/>
  <c r="AA216" i="2"/>
  <c r="T237" i="2"/>
  <c r="T196" i="2"/>
  <c r="P157" i="2"/>
  <c r="AF121" i="2"/>
  <c r="AP292" i="2"/>
  <c r="X292" i="2"/>
  <c r="L154" i="2"/>
  <c r="AT29" i="2"/>
  <c r="AU29" i="2" s="1"/>
  <c r="AV29" i="2" s="1"/>
  <c r="AU30" i="2"/>
  <c r="AT63" i="2"/>
  <c r="AF217" i="2"/>
  <c r="W217" i="2"/>
  <c r="AG196" i="2"/>
  <c r="AG237" i="2"/>
  <c r="W238" i="2"/>
  <c r="AC125" i="2"/>
  <c r="AC118" i="2"/>
  <c r="AC128" i="2" s="1"/>
  <c r="Z238" i="2"/>
  <c r="T135" i="2"/>
  <c r="T134" i="2" s="1"/>
  <c r="Z121" i="2"/>
  <c r="AH121" i="2"/>
  <c r="U173" i="2"/>
  <c r="U215" i="2"/>
  <c r="Z157" i="2"/>
  <c r="AJ193" i="2"/>
  <c r="AJ192" i="2" s="1"/>
  <c r="AJ207" i="2" s="1"/>
  <c r="J135" i="2"/>
  <c r="J134" i="2" s="1"/>
  <c r="V235" i="2"/>
  <c r="W121" i="2"/>
  <c r="W128" i="2" s="1"/>
  <c r="AG215" i="2"/>
  <c r="AG173" i="2"/>
  <c r="AG172" i="2" s="1"/>
  <c r="AG170" i="2" s="1"/>
  <c r="AL157" i="2"/>
  <c r="W154" i="2"/>
  <c r="W153" i="2" s="1"/>
  <c r="N154" i="2"/>
  <c r="N153" i="2" s="1"/>
  <c r="AG126" i="2"/>
  <c r="M126" i="2"/>
  <c r="AR284" i="2"/>
  <c r="J234" i="2"/>
  <c r="Z107" i="2"/>
  <c r="Z114" i="2" s="1"/>
  <c r="AD193" i="2"/>
  <c r="AD192" i="2" s="1"/>
  <c r="AB47" i="2"/>
  <c r="AL292" i="2"/>
  <c r="H292" i="2"/>
  <c r="AA154" i="2"/>
  <c r="E126" i="2"/>
  <c r="AI126" i="2"/>
  <c r="R292" i="2"/>
  <c r="AB284" i="2"/>
  <c r="U196" i="2"/>
  <c r="U237" i="2"/>
  <c r="G238" i="2"/>
  <c r="V217" i="2"/>
  <c r="AR154" i="2"/>
  <c r="J154" i="2"/>
  <c r="L217" i="2"/>
  <c r="AC154" i="2"/>
  <c r="AC153" i="2" s="1"/>
  <c r="V238" i="2"/>
  <c r="I234" i="2"/>
  <c r="AO216" i="2"/>
  <c r="AT107" i="2"/>
  <c r="AT114" i="2" s="1"/>
  <c r="AG292" i="2"/>
  <c r="S234" i="2"/>
  <c r="S193" i="2"/>
  <c r="M292" i="2"/>
  <c r="AK217" i="2"/>
  <c r="I126" i="2"/>
  <c r="AJ284" i="2"/>
  <c r="AE118" i="2"/>
  <c r="AE125" i="2"/>
  <c r="V284" i="2"/>
  <c r="N284" i="2"/>
  <c r="AS81" i="2"/>
  <c r="AC72" i="2"/>
  <c r="AC71" i="2" s="1"/>
  <c r="Q81" i="2"/>
  <c r="J126" i="2"/>
  <c r="G75" i="2"/>
  <c r="E157" i="2"/>
  <c r="AH173" i="2"/>
  <c r="AQ235" i="2"/>
  <c r="V237" i="2"/>
  <c r="V196" i="2"/>
  <c r="AM216" i="2"/>
  <c r="H154" i="2"/>
  <c r="J235" i="2"/>
  <c r="J216" i="2"/>
  <c r="AO157" i="2"/>
  <c r="P235" i="2"/>
  <c r="Q292" i="2"/>
  <c r="AF135" i="2"/>
  <c r="AF134" i="2" s="1"/>
  <c r="R173" i="2"/>
  <c r="R215" i="2"/>
  <c r="Q235" i="2"/>
  <c r="AC216" i="2"/>
  <c r="AI118" i="2"/>
  <c r="AI128" i="2" s="1"/>
  <c r="AI125" i="2"/>
  <c r="S126" i="2"/>
  <c r="F292" i="2"/>
  <c r="O125" i="2"/>
  <c r="O118" i="2"/>
  <c r="O128" i="2" s="1"/>
  <c r="AH118" i="2"/>
  <c r="AH125" i="2"/>
  <c r="AH128" i="2"/>
  <c r="H234" i="2"/>
  <c r="AS217" i="2"/>
  <c r="AE249" i="2"/>
  <c r="H238" i="2"/>
  <c r="AS238" i="2"/>
  <c r="U121" i="2"/>
  <c r="Q234" i="2"/>
  <c r="Q193" i="2"/>
  <c r="H135" i="2"/>
  <c r="H134" i="2" s="1"/>
  <c r="AK234" i="2"/>
  <c r="AK193" i="2"/>
  <c r="F216" i="2"/>
  <c r="AA125" i="2"/>
  <c r="AA118" i="2"/>
  <c r="AA128" i="2" s="1"/>
  <c r="H126" i="2"/>
  <c r="G125" i="2"/>
  <c r="G118" i="2"/>
  <c r="G128" i="2"/>
  <c r="X118" i="2"/>
  <c r="X128" i="2"/>
  <c r="X125" i="2"/>
  <c r="AS292" i="2"/>
  <c r="AC249" i="2"/>
  <c r="S237" i="2"/>
  <c r="S196" i="2"/>
  <c r="AO135" i="2"/>
  <c r="AO134" i="2" s="1"/>
  <c r="AO132" i="2" s="1"/>
  <c r="AI154" i="2"/>
  <c r="AI153" i="2" s="1"/>
  <c r="AI151" i="2" s="1"/>
  <c r="AO126" i="2"/>
  <c r="F114" i="2"/>
  <c r="F107" i="2"/>
  <c r="U126" i="2"/>
  <c r="S121" i="2"/>
  <c r="AH292" i="2"/>
  <c r="AK173" i="2"/>
  <c r="AK172" i="2" s="1"/>
  <c r="AK215" i="2"/>
  <c r="AS235" i="2"/>
  <c r="AP157" i="2"/>
  <c r="AH196" i="2"/>
  <c r="AT154" i="2"/>
  <c r="K235" i="2"/>
  <c r="T235" i="2"/>
  <c r="AA157" i="2"/>
  <c r="Z135" i="2"/>
  <c r="Z134" i="2" s="1"/>
  <c r="G216" i="2"/>
  <c r="Q249" i="2"/>
  <c r="AJ135" i="2"/>
  <c r="AJ134" i="2" s="1"/>
  <c r="AJ132" i="2" s="1"/>
  <c r="AR157" i="2"/>
  <c r="S238" i="2"/>
  <c r="K135" i="2"/>
  <c r="K134" i="2" s="1"/>
  <c r="AQ154" i="2"/>
  <c r="U217" i="2"/>
  <c r="AR135" i="2"/>
  <c r="AR134" i="2" s="1"/>
  <c r="AR132" i="2" s="1"/>
  <c r="R125" i="2"/>
  <c r="R128" i="2"/>
  <c r="R118" i="2"/>
  <c r="AO292" i="2"/>
  <c r="L237" i="2"/>
  <c r="L196" i="2"/>
  <c r="U292" i="2"/>
  <c r="AN193" i="2"/>
  <c r="AN192" i="2" s="1"/>
  <c r="AN207" i="2" s="1"/>
  <c r="AS193" i="2"/>
  <c r="AS192" i="2" s="1"/>
  <c r="AS234" i="2"/>
  <c r="O157" i="2"/>
  <c r="N135" i="2"/>
  <c r="N134" i="2" s="1"/>
  <c r="AJ173" i="2"/>
  <c r="AI196" i="2"/>
  <c r="AI237" i="2"/>
  <c r="Q173" i="2"/>
  <c r="Q215" i="2"/>
  <c r="R235" i="2"/>
  <c r="V157" i="2"/>
  <c r="Y217" i="2"/>
  <c r="E238" i="2"/>
  <c r="Y234" i="2"/>
  <c r="Y193" i="2"/>
  <c r="Y192" i="2" s="1"/>
  <c r="I135" i="2"/>
  <c r="I134" i="2" s="1"/>
  <c r="Q126" i="2"/>
  <c r="K121" i="2"/>
  <c r="AD292" i="2"/>
  <c r="V154" i="2"/>
  <c r="AE292" i="2"/>
  <c r="O292" i="2"/>
  <c r="AQ234" i="2"/>
  <c r="AQ193" i="2"/>
  <c r="J157" i="2"/>
  <c r="AL173" i="2"/>
  <c r="T234" i="2"/>
  <c r="T193" i="2"/>
  <c r="T192" i="2" s="1"/>
  <c r="R234" i="2"/>
  <c r="R193" i="2"/>
  <c r="R192" i="2" s="1"/>
  <c r="P215" i="2"/>
  <c r="P173" i="2"/>
  <c r="E234" i="2"/>
  <c r="AJ154" i="2"/>
  <c r="AS157" i="2"/>
  <c r="AD217" i="2"/>
  <c r="AI215" i="2"/>
  <c r="AI173" i="2"/>
  <c r="AI172" i="2" s="1"/>
  <c r="T157" i="2"/>
  <c r="Z217" i="2"/>
  <c r="I292" i="2"/>
  <c r="Q135" i="2"/>
  <c r="Q134" i="2" s="1"/>
  <c r="L216" i="2"/>
  <c r="Z196" i="2"/>
  <c r="Z237" i="2"/>
  <c r="AA235" i="2"/>
  <c r="AO235" i="2"/>
  <c r="AQ157" i="2"/>
  <c r="AP135" i="2"/>
  <c r="AP134" i="2" s="1"/>
  <c r="AP132" i="2" s="1"/>
  <c r="W216" i="2"/>
  <c r="AM215" i="2"/>
  <c r="AM173" i="2"/>
  <c r="AM172" i="2" s="1"/>
  <c r="S215" i="2"/>
  <c r="S173" i="2"/>
  <c r="AM135" i="2"/>
  <c r="AM134" i="2" s="1"/>
  <c r="AM132" i="2" s="1"/>
  <c r="E216" i="2"/>
  <c r="AJ157" i="2"/>
  <c r="O234" i="2"/>
  <c r="Z215" i="2"/>
  <c r="Z173" i="2"/>
  <c r="S118" i="2"/>
  <c r="S128" i="2" s="1"/>
  <c r="S125" i="2"/>
  <c r="AN118" i="2"/>
  <c r="AN128" i="2"/>
  <c r="AN125" i="2"/>
  <c r="M118" i="2"/>
  <c r="M128" i="2" s="1"/>
  <c r="M125" i="2"/>
  <c r="AK292" i="2"/>
  <c r="AC284" i="2"/>
  <c r="AP284" i="2"/>
  <c r="AK237" i="2"/>
  <c r="AK196" i="2"/>
  <c r="AC238" i="2"/>
  <c r="I121" i="2"/>
  <c r="AQ217" i="2"/>
  <c r="AB217" i="2"/>
  <c r="R217" i="2"/>
  <c r="AS154" i="2"/>
  <c r="AQ238" i="2"/>
  <c r="AO238" i="2"/>
  <c r="K292" i="2"/>
  <c r="AE193" i="2"/>
  <c r="AE192" i="2" s="1"/>
  <c r="AE234" i="2"/>
  <c r="AI135" i="2"/>
  <c r="AI134" i="2" s="1"/>
  <c r="AI132" i="2" s="1"/>
  <c r="AR121" i="2"/>
  <c r="AP107" i="2"/>
  <c r="AP114" i="2" s="1"/>
  <c r="W292" i="2"/>
  <c r="AH154" i="2"/>
  <c r="AH153" i="2" s="1"/>
  <c r="W196" i="2"/>
  <c r="W237" i="2"/>
  <c r="H157" i="2"/>
  <c r="T292" i="2"/>
  <c r="AE113" i="2"/>
  <c r="AE112" i="2" s="1"/>
  <c r="AE282" i="2" s="1"/>
  <c r="AE284" i="2" s="1"/>
  <c r="P217" i="2"/>
  <c r="AG154" i="2"/>
  <c r="AG153" i="2" s="1"/>
  <c r="AA238" i="2"/>
  <c r="E235" i="2"/>
  <c r="Q196" i="2"/>
  <c r="Q237" i="2"/>
  <c r="AQ237" i="2"/>
  <c r="AQ196" i="2"/>
  <c r="Q217" i="2"/>
  <c r="AN154" i="2"/>
  <c r="AC135" i="2"/>
  <c r="AC134" i="2" s="1"/>
  <c r="AC132" i="2" s="1"/>
  <c r="H125" i="2"/>
  <c r="H128" i="2"/>
  <c r="H118" i="2"/>
  <c r="U284" i="2"/>
  <c r="X237" i="2"/>
  <c r="X196" i="2"/>
  <c r="AL154" i="2"/>
  <c r="AL153" i="2" s="1"/>
  <c r="AN126" i="2"/>
  <c r="V292" i="2"/>
  <c r="N126" i="2"/>
  <c r="Q88" i="2"/>
  <c r="AU34" i="2"/>
  <c r="AV34" i="2" s="1"/>
  <c r="T68" i="2"/>
  <c r="T171" i="2"/>
  <c r="F154" i="2"/>
  <c r="F153" i="2" s="1"/>
  <c r="AM125" i="2"/>
  <c r="AM118" i="2"/>
  <c r="AM128" i="2" s="1"/>
  <c r="X126" i="2"/>
  <c r="J292" i="2"/>
  <c r="L284" i="2"/>
  <c r="AN157" i="2"/>
  <c r="M216" i="2"/>
  <c r="AM121" i="2"/>
  <c r="AL107" i="2"/>
  <c r="AL114" i="2" s="1"/>
  <c r="G292" i="2"/>
  <c r="L121" i="2"/>
  <c r="R107" i="2"/>
  <c r="R114" i="2" s="1"/>
  <c r="F284" i="2"/>
  <c r="AT75" i="2"/>
  <c r="AF284" i="2"/>
  <c r="S107" i="2"/>
  <c r="S114" i="2" s="1"/>
  <c r="AB292" i="2"/>
  <c r="AF292" i="2"/>
  <c r="L292" i="2"/>
  <c r="AE127" i="2"/>
  <c r="AE128" i="2" s="1"/>
  <c r="O107" i="2"/>
  <c r="O114" i="2" s="1"/>
  <c r="P127" i="2"/>
  <c r="AU10" i="2"/>
  <c r="AV10" i="2" s="1"/>
  <c r="AN284" i="2"/>
  <c r="AM113" i="2"/>
  <c r="AM112" i="2" s="1"/>
  <c r="AM282" i="2" s="1"/>
  <c r="AM284" i="2" s="1"/>
  <c r="N113" i="2"/>
  <c r="N112" i="2" s="1"/>
  <c r="N282" i="2" s="1"/>
  <c r="U68" i="2"/>
  <c r="U171" i="2"/>
  <c r="AR292" i="2"/>
  <c r="P284" i="2"/>
  <c r="K61" i="2"/>
  <c r="K62" i="2" s="1"/>
  <c r="K63" i="2" s="1"/>
  <c r="U128" i="2" l="1"/>
  <c r="AN153" i="2"/>
  <c r="Q128" i="2"/>
  <c r="K128" i="2"/>
  <c r="I128" i="2"/>
  <c r="U114" i="2"/>
  <c r="AJ153" i="2"/>
  <c r="F67" i="2"/>
  <c r="AK128" i="2"/>
  <c r="T114" i="2"/>
  <c r="AB114" i="2"/>
  <c r="N114" i="2"/>
  <c r="AO128" i="2"/>
  <c r="U153" i="2"/>
  <c r="AM67" i="2"/>
  <c r="AM87" i="2" s="1"/>
  <c r="AM91" i="2" s="1"/>
  <c r="AM93" i="2" s="1"/>
  <c r="AM95" i="2" s="1"/>
  <c r="AG128" i="2"/>
  <c r="K114" i="2"/>
  <c r="Y114" i="2"/>
  <c r="AS153" i="2"/>
  <c r="AS151" i="2" s="1"/>
  <c r="V153" i="2"/>
  <c r="AE114" i="2"/>
  <c r="AF114" i="2"/>
  <c r="M114" i="2"/>
  <c r="AM114" i="2"/>
  <c r="I114" i="2"/>
  <c r="AF192" i="2"/>
  <c r="I153" i="2"/>
  <c r="S153" i="2"/>
  <c r="AQ114" i="2"/>
  <c r="AS114" i="2"/>
  <c r="AO114" i="2"/>
  <c r="AG114" i="2"/>
  <c r="Z71" i="2"/>
  <c r="Z67" i="2" s="1"/>
  <c r="Z87" i="2" s="1"/>
  <c r="Z91" i="2" s="1"/>
  <c r="Z93" i="2" s="1"/>
  <c r="Z95" i="2" s="1"/>
  <c r="AC114" i="2"/>
  <c r="J153" i="2"/>
  <c r="AB153" i="2"/>
  <c r="AA114" i="2"/>
  <c r="Q114" i="2"/>
  <c r="AR114" i="2"/>
  <c r="AI188" i="2"/>
  <c r="AI213" i="2"/>
  <c r="AQ153" i="2"/>
  <c r="AQ151" i="2" s="1"/>
  <c r="AK188" i="2"/>
  <c r="AK213" i="2"/>
  <c r="AK170" i="2"/>
  <c r="AK192" i="2"/>
  <c r="H153" i="2"/>
  <c r="AA153" i="2"/>
  <c r="O153" i="2"/>
  <c r="AA192" i="2"/>
  <c r="T153" i="2"/>
  <c r="M153" i="2"/>
  <c r="AQ213" i="2"/>
  <c r="AQ188" i="2"/>
  <c r="E153" i="2"/>
  <c r="AK153" i="2"/>
  <c r="AK151" i="2" s="1"/>
  <c r="X192" i="2"/>
  <c r="P67" i="2"/>
  <c r="P87" i="2" s="1"/>
  <c r="P91" i="2" s="1"/>
  <c r="P93" i="2" s="1"/>
  <c r="P95" i="2" s="1"/>
  <c r="Y67" i="2"/>
  <c r="U192" i="2"/>
  <c r="S71" i="2"/>
  <c r="S67" i="2" s="1"/>
  <c r="S87" i="2" s="1"/>
  <c r="S91" i="2" s="1"/>
  <c r="S93" i="2" s="1"/>
  <c r="S95" i="2" s="1"/>
  <c r="AQ71" i="2"/>
  <c r="AQ67" i="2" s="1"/>
  <c r="AQ87" i="2" s="1"/>
  <c r="AQ91" i="2" s="1"/>
  <c r="AQ93" i="2" s="1"/>
  <c r="AQ95" i="2" s="1"/>
  <c r="AH71" i="2"/>
  <c r="AH67" i="2" s="1"/>
  <c r="AH87" i="2" s="1"/>
  <c r="AH91" i="2" s="1"/>
  <c r="AH93" i="2" s="1"/>
  <c r="AH95" i="2" s="1"/>
  <c r="AI192" i="2"/>
  <c r="R71" i="2"/>
  <c r="R67" i="2" s="1"/>
  <c r="R87" i="2" s="1"/>
  <c r="R91" i="2" s="1"/>
  <c r="R93" i="2" s="1"/>
  <c r="R95" i="2" s="1"/>
  <c r="AE153" i="2"/>
  <c r="AS232" i="2"/>
  <c r="AS207" i="2"/>
  <c r="AS190" i="2"/>
  <c r="S192" i="2"/>
  <c r="L153" i="2"/>
  <c r="AM207" i="2"/>
  <c r="AM190" i="2"/>
  <c r="AG192" i="2"/>
  <c r="X153" i="2"/>
  <c r="Y153" i="2"/>
  <c r="Z153" i="2"/>
  <c r="AD153" i="2"/>
  <c r="G153" i="2"/>
  <c r="T67" i="2"/>
  <c r="T87" i="2" s="1"/>
  <c r="T91" i="2" s="1"/>
  <c r="T93" i="2" s="1"/>
  <c r="T95" i="2" s="1"/>
  <c r="AF67" i="2"/>
  <c r="AF87" i="2" s="1"/>
  <c r="AF91" i="2" s="1"/>
  <c r="AF93" i="2" s="1"/>
  <c r="AF95" i="2" s="1"/>
  <c r="P153" i="2"/>
  <c r="AB192" i="2"/>
  <c r="AR192" i="2"/>
  <c r="AR207" i="2" s="1"/>
  <c r="J71" i="2"/>
  <c r="J67" i="2" s="1"/>
  <c r="J87" i="2" s="1"/>
  <c r="J91" i="2" s="1"/>
  <c r="J93" i="2" s="1"/>
  <c r="J95" i="2" s="1"/>
  <c r="I71" i="2"/>
  <c r="AT71" i="2"/>
  <c r="AT67" i="2" s="1"/>
  <c r="G71" i="2"/>
  <c r="G67" i="2" s="1"/>
  <c r="G87" i="2" s="1"/>
  <c r="G91" i="2" s="1"/>
  <c r="G93" i="2" s="1"/>
  <c r="G95" i="2" s="1"/>
  <c r="W67" i="2"/>
  <c r="W87" i="2" s="1"/>
  <c r="W91" i="2" s="1"/>
  <c r="W93" i="2" s="1"/>
  <c r="W95" i="2" s="1"/>
  <c r="AU47" i="2"/>
  <c r="AV47" i="2" s="1"/>
  <c r="O71" i="2"/>
  <c r="O67" i="2" s="1"/>
  <c r="O87" i="2" s="1"/>
  <c r="O91" i="2" s="1"/>
  <c r="O93" i="2" s="1"/>
  <c r="O95" i="2" s="1"/>
  <c r="K153" i="2"/>
  <c r="AL67" i="2"/>
  <c r="AL87" i="2" s="1"/>
  <c r="AL91" i="2" s="1"/>
  <c r="AL93" i="2" s="1"/>
  <c r="AL95" i="2" s="1"/>
  <c r="AP192" i="2"/>
  <c r="AP207" i="2" s="1"/>
  <c r="AE71" i="2"/>
  <c r="AE67" i="2" s="1"/>
  <c r="AE87" i="2" s="1"/>
  <c r="AE91" i="2" s="1"/>
  <c r="AE93" i="2" s="1"/>
  <c r="AE95" i="2" s="1"/>
  <c r="AM153" i="2"/>
  <c r="AM151" i="2" s="1"/>
  <c r="AM170" i="2"/>
  <c r="AM188" i="2"/>
  <c r="AM213" i="2"/>
  <c r="I67" i="2"/>
  <c r="I87" i="2" s="1"/>
  <c r="I91" i="2" s="1"/>
  <c r="I93" i="2" s="1"/>
  <c r="I95" i="2" s="1"/>
  <c r="AO87" i="2"/>
  <c r="AO91" i="2" s="1"/>
  <c r="AO93" i="2" s="1"/>
  <c r="AO95" i="2" s="1"/>
  <c r="G13" i="1"/>
  <c r="K71" i="2"/>
  <c r="K67" i="2" s="1"/>
  <c r="K87" i="2" s="1"/>
  <c r="K91" i="2" s="1"/>
  <c r="K93" i="2" s="1"/>
  <c r="K95" i="2" s="1"/>
  <c r="F87" i="2"/>
  <c r="F91" i="2" s="1"/>
  <c r="F93" i="2" s="1"/>
  <c r="F95" i="2" s="1"/>
  <c r="AP71" i="2"/>
  <c r="AP67" i="2" s="1"/>
  <c r="AP87" i="2" s="1"/>
  <c r="AP91" i="2" s="1"/>
  <c r="AP93" i="2" s="1"/>
  <c r="AP95" i="2" s="1"/>
  <c r="AJ71" i="2"/>
  <c r="AJ67" i="2" s="1"/>
  <c r="AJ87" i="2" s="1"/>
  <c r="AJ91" i="2" s="1"/>
  <c r="AJ93" i="2" s="1"/>
  <c r="AJ95" i="2" s="1"/>
  <c r="L71" i="2"/>
  <c r="L67" i="2" s="1"/>
  <c r="L87" i="2" s="1"/>
  <c r="L91" i="2" s="1"/>
  <c r="L93" i="2" s="1"/>
  <c r="L95" i="2" s="1"/>
  <c r="V71" i="2"/>
  <c r="V67" i="2" s="1"/>
  <c r="V87" i="2" s="1"/>
  <c r="V91" i="2" s="1"/>
  <c r="V93" i="2" s="1"/>
  <c r="V95" i="2" s="1"/>
  <c r="AC67" i="2"/>
  <c r="AS71" i="2"/>
  <c r="AS67" i="2" s="1"/>
  <c r="AQ192" i="2"/>
  <c r="Q192" i="2"/>
  <c r="AR153" i="2"/>
  <c r="Z192" i="2"/>
  <c r="AO153" i="2"/>
  <c r="AO151" i="2" s="1"/>
  <c r="AH192" i="2"/>
  <c r="AO190" i="2"/>
  <c r="AO207" i="2"/>
  <c r="AO232" i="2"/>
  <c r="V192" i="2"/>
  <c r="AF153" i="2"/>
  <c r="AP153" i="2"/>
  <c r="W192" i="2"/>
  <c r="AC192" i="2"/>
  <c r="AC190" i="2" s="1"/>
  <c r="AG71" i="2"/>
  <c r="AG67" i="2" s="1"/>
  <c r="AS188" i="2"/>
  <c r="AS170" i="2"/>
  <c r="AS213" i="2"/>
  <c r="Q71" i="2"/>
  <c r="Q67" i="2" s="1"/>
  <c r="Q87" i="2" s="1"/>
  <c r="Q91" i="2" s="1"/>
  <c r="Q93" i="2" s="1"/>
  <c r="Q95" i="2" s="1"/>
  <c r="AO170" i="2"/>
  <c r="AO213" i="2"/>
  <c r="AO188" i="2"/>
  <c r="AI71" i="2"/>
  <c r="AI67" i="2" s="1"/>
  <c r="AI87" i="2" s="1"/>
  <c r="AI91" i="2" s="1"/>
  <c r="AI93" i="2" s="1"/>
  <c r="AI95" i="2" s="1"/>
  <c r="AA71" i="2"/>
  <c r="AA67" i="2" s="1"/>
  <c r="AA87" i="2" s="1"/>
  <c r="AA91" i="2" s="1"/>
  <c r="AA93" i="2" s="1"/>
  <c r="AA95" i="2" s="1"/>
  <c r="M71" i="2"/>
  <c r="M67" i="2" s="1"/>
  <c r="M87" i="2" s="1"/>
  <c r="M91" i="2" s="1"/>
  <c r="M93" i="2" s="1"/>
  <c r="M95" i="2" s="1"/>
  <c r="E87" i="2"/>
  <c r="E91" i="2" s="1"/>
  <c r="E93" i="2" s="1"/>
  <c r="E95" i="2" s="1"/>
  <c r="U71" i="2"/>
  <c r="U67" i="2" s="1"/>
  <c r="U87" i="2" s="1"/>
  <c r="U91" i="2" s="1"/>
  <c r="U93" i="2" s="1"/>
  <c r="U95" i="2" s="1"/>
  <c r="AB71" i="2"/>
  <c r="AB67" i="2" s="1"/>
  <c r="AB87" i="2" s="1"/>
  <c r="AB91" i="2" s="1"/>
  <c r="AB93" i="2" s="1"/>
  <c r="AB95" i="2" s="1"/>
  <c r="AK71" i="2"/>
  <c r="AK67" i="2" s="1"/>
  <c r="AK87" i="2" l="1"/>
  <c r="AK91" i="2" s="1"/>
  <c r="AK93" i="2" s="1"/>
  <c r="AK95" i="2" s="1"/>
  <c r="F13" i="1"/>
  <c r="AQ190" i="2"/>
  <c r="AQ207" i="2"/>
  <c r="AQ232" i="2"/>
  <c r="G17" i="1"/>
  <c r="G19" i="1"/>
  <c r="AT87" i="2"/>
  <c r="AT91" i="2" s="1"/>
  <c r="AT93" i="2" s="1"/>
  <c r="AT95" i="2" s="1"/>
  <c r="I13" i="1"/>
  <c r="AK190" i="2"/>
  <c r="AK207" i="2"/>
  <c r="AK232" i="2"/>
  <c r="AG87" i="2"/>
  <c r="AG91" i="2" s="1"/>
  <c r="AG93" i="2" s="1"/>
  <c r="AG95" i="2" s="1"/>
  <c r="E13" i="1"/>
  <c r="AC87" i="2"/>
  <c r="AC91" i="2" s="1"/>
  <c r="AC93" i="2" s="1"/>
  <c r="AC95" i="2" s="1"/>
  <c r="D13" i="1"/>
  <c r="AG190" i="2"/>
  <c r="AG232" i="2"/>
  <c r="AI207" i="2"/>
  <c r="AI190" i="2"/>
  <c r="AI232" i="2"/>
  <c r="AS87" i="2"/>
  <c r="AS91" i="2" s="1"/>
  <c r="AS93" i="2" s="1"/>
  <c r="AS95" i="2" s="1"/>
  <c r="H13" i="1"/>
  <c r="AM232" i="2"/>
  <c r="Y87" i="2"/>
  <c r="Y91" i="2" s="1"/>
  <c r="Y93" i="2" s="1"/>
  <c r="Y95" i="2" s="1"/>
  <c r="C13" i="1"/>
  <c r="AC232" i="2"/>
  <c r="D17" i="1" l="1"/>
  <c r="D19" i="1"/>
  <c r="C19" i="1"/>
  <c r="C17" i="1"/>
  <c r="H19" i="1"/>
  <c r="H17" i="1"/>
  <c r="E19" i="1"/>
  <c r="E17" i="1"/>
  <c r="F17" i="1"/>
  <c r="F19" i="1"/>
  <c r="I17" i="1"/>
  <c r="I19" i="1"/>
</calcChain>
</file>

<file path=xl/sharedStrings.xml><?xml version="1.0" encoding="utf-8"?>
<sst xmlns="http://schemas.openxmlformats.org/spreadsheetml/2006/main" count="1428" uniqueCount="602">
  <si>
    <t>证券名称：</t>
  </si>
  <si>
    <t>工商银行</t>
    <phoneticPr fontId="6" type="noConversion"/>
  </si>
  <si>
    <t>项目名称：</t>
  </si>
  <si>
    <t>财报录入(费用类都记为负数）</t>
    <phoneticPr fontId="6" type="noConversion"/>
  </si>
  <si>
    <t>单位：</t>
  </si>
  <si>
    <t xml:space="preserve">除百分比外，其他为RMB 百万 </t>
  </si>
  <si>
    <t>资产负债表</t>
  </si>
  <si>
    <t>资产</t>
  </si>
  <si>
    <t>1Q07</t>
    <phoneticPr fontId="6" type="noConversion"/>
  </si>
  <si>
    <t>1H07</t>
    <phoneticPr fontId="6" type="noConversion"/>
  </si>
  <si>
    <t>3Q07</t>
    <phoneticPr fontId="6" type="noConversion"/>
  </si>
  <si>
    <t>1Q08</t>
    <phoneticPr fontId="6" type="noConversion"/>
  </si>
  <si>
    <t>1H08</t>
    <phoneticPr fontId="6" type="noConversion"/>
  </si>
  <si>
    <t>3Q08</t>
    <phoneticPr fontId="6" type="noConversion"/>
  </si>
  <si>
    <t>1Q09</t>
    <phoneticPr fontId="6" type="noConversion"/>
  </si>
  <si>
    <t>1H09</t>
    <phoneticPr fontId="6" type="noConversion"/>
  </si>
  <si>
    <t>3Q09</t>
    <phoneticPr fontId="6" type="noConversion"/>
  </si>
  <si>
    <t>1Q10</t>
    <phoneticPr fontId="6" type="noConversion"/>
  </si>
  <si>
    <t>1H10</t>
    <phoneticPr fontId="6" type="noConversion"/>
  </si>
  <si>
    <t>3Q10</t>
    <phoneticPr fontId="6" type="noConversion"/>
  </si>
  <si>
    <t>1Q11</t>
    <phoneticPr fontId="6" type="noConversion"/>
  </si>
  <si>
    <t>1H11</t>
  </si>
  <si>
    <t>3Q11</t>
    <phoneticPr fontId="6" type="noConversion"/>
  </si>
  <si>
    <t>1Q12</t>
  </si>
  <si>
    <t>1H12</t>
  </si>
  <si>
    <t>3Q12</t>
  </si>
  <si>
    <t>1Q13</t>
    <phoneticPr fontId="6" type="noConversion"/>
  </si>
  <si>
    <t>1H13</t>
    <phoneticPr fontId="6" type="noConversion"/>
  </si>
  <si>
    <t>3Q13</t>
    <phoneticPr fontId="6" type="noConversion"/>
  </si>
  <si>
    <t>1Q14</t>
    <phoneticPr fontId="6" type="noConversion"/>
  </si>
  <si>
    <t>1H14</t>
    <phoneticPr fontId="6" type="noConversion"/>
  </si>
  <si>
    <t>3Q14</t>
    <phoneticPr fontId="6" type="noConversion"/>
  </si>
  <si>
    <t>1Q15</t>
    <phoneticPr fontId="6" type="noConversion"/>
  </si>
  <si>
    <t>1H15</t>
    <phoneticPr fontId="6" type="noConversion"/>
  </si>
  <si>
    <t>3Q15</t>
    <phoneticPr fontId="6" type="noConversion"/>
  </si>
  <si>
    <t>1Q16</t>
    <phoneticPr fontId="6" type="noConversion"/>
  </si>
  <si>
    <t>1H16</t>
    <phoneticPr fontId="6" type="noConversion"/>
  </si>
  <si>
    <t>3Q16</t>
    <phoneticPr fontId="6" type="noConversion"/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</si>
  <si>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</si>
  <si>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</si>
  <si>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</si>
  <si>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</si>
  <si>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</si>
  <si>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</si>
  <si>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</si>
  <si>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</si>
  <si>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</si>
  <si>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</si>
  <si>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</si>
  <si>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</si>
  <si>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</si>
  <si>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</si>
  <si>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</si>
  <si>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</si>
  <si>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</si>
  <si>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</si>
  <si>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</si>
  <si>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</si>
  <si>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</si>
  <si>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</si>
  <si>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</si>
  <si>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</si>
  <si>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</si>
  <si>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</si>
  <si>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</si>
  <si>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</si>
  <si>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</si>
  <si>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</si>
  <si>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</si>
  <si>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</si>
  <si>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</si>
  <si>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</si>
  <si>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</si>
  <si>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</si>
  <si>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</si>
  <si>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</si>
  <si>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</si>
  <si>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</si>
  <si>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</si>
  <si>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</si>
  <si>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与年报Check</t>
    <phoneticPr fontId="4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</si>
  <si>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</si>
  <si>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</si>
  <si>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</si>
  <si>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</si>
  <si>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</si>
  <si>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</si>
  <si>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</si>
  <si>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</si>
  <si>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</si>
  <si>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</si>
  <si>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</si>
  <si>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</si>
  <si>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</si>
  <si>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</si>
  <si>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</si>
  <si>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</si>
  <si>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</si>
  <si>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</si>
  <si>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</si>
  <si>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</si>
  <si>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</si>
  <si>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</si>
  <si>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</si>
  <si>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</si>
  <si>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</si>
  <si>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</si>
  <si>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</si>
  <si>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关注营改增</t>
    <phoneticPr fontId="4" type="noConversion"/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</si>
  <si>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</si>
  <si>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</si>
  <si>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</si>
  <si>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</si>
  <si>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</si>
  <si>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</si>
  <si>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</si>
  <si>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</si>
  <si>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</si>
  <si>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</si>
  <si>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</si>
  <si>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</si>
  <si>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</si>
  <si>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</si>
  <si>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</si>
  <si>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</si>
  <si>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</si>
  <si>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</si>
  <si>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</si>
  <si>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</si>
  <si>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保证贷款总额对的上</t>
    <phoneticPr fontId="4" type="noConversion"/>
  </si>
  <si>
    <t>企业贷款</t>
  </si>
  <si>
    <t xml:space="preserve">  一般贷款（含其他）</t>
  </si>
  <si>
    <t xml:space="preserve">  贴现</t>
    <phoneticPr fontId="6" type="noConversion"/>
  </si>
  <si>
    <t>个人贷款</t>
    <phoneticPr fontId="6" type="noConversion"/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</si>
  <si>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</si>
  <si>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</si>
  <si>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</si>
  <si>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</si>
  <si>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</si>
  <si>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</si>
  <si>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</si>
  <si>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</si>
  <si>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</si>
  <si>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</si>
  <si>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</si>
  <si>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</si>
  <si>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</si>
  <si>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</si>
  <si>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>发放贷款（包含境外业务）</t>
    <phoneticPr fontId="4" type="noConversion"/>
  </si>
  <si>
    <t xml:space="preserve">  一般公司贷款</t>
    <phoneticPr fontId="6" type="noConversion"/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</si>
  <si>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</si>
  <si>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</si>
  <si>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</si>
  <si>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</si>
  <si>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</si>
  <si>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</si>
  <si>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</si>
  <si>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</si>
  <si>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</si>
  <si>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</si>
  <si>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</si>
  <si>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</si>
  <si>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</si>
  <si>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</si>
  <si>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</si>
  <si>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</si>
  <si>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</si>
  <si>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</si>
  <si>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其他（境外业务）</t>
    <phoneticPr fontId="4" type="noConversion"/>
  </si>
  <si>
    <t>发行债券</t>
  </si>
  <si>
    <t>同业负债</t>
  </si>
  <si>
    <t>同业存放</t>
  </si>
  <si>
    <t>卖出回购</t>
    <phoneticPr fontId="6" type="noConversion"/>
  </si>
  <si>
    <t>向央行借款</t>
    <phoneticPr fontId="6" type="noConversion"/>
  </si>
  <si>
    <t>其他付息负债</t>
  </si>
  <si>
    <t>成本收入明细</t>
  </si>
  <si>
    <t>利息收入总额</t>
    <phoneticPr fontId="6" type="noConversion"/>
  </si>
  <si>
    <t>发放贷款</t>
  </si>
  <si>
    <t>企业贷款</t>
    <phoneticPr fontId="6" type="noConversion"/>
  </si>
  <si>
    <t xml:space="preserve">  企业贷款及垫款（含其他）</t>
    <phoneticPr fontId="6" type="noConversion"/>
  </si>
  <si>
    <t>其他利息收入</t>
  </si>
  <si>
    <t>利息支出总额</t>
    <phoneticPr fontId="6" type="noConversion"/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</si>
  <si>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</si>
  <si>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</si>
  <si>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</si>
  <si>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</si>
  <si>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</si>
  <si>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</si>
  <si>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</si>
  <si>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</si>
  <si>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</si>
  <si>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</si>
  <si>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</si>
  <si>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</si>
  <si>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</si>
  <si>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</si>
  <si>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</si>
  <si>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</si>
  <si>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</si>
  <si>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</si>
  <si>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</si>
  <si>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</si>
  <si>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</si>
  <si>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</si>
  <si>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本期转出</t>
    <phoneticPr fontId="6" type="noConversion"/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</si>
  <si>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</si>
  <si>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</si>
  <si>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</si>
  <si>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</si>
  <si>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</si>
  <si>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</si>
  <si>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</si>
  <si>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</si>
  <si>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</si>
  <si>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</si>
  <si>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</si>
  <si>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</si>
  <si>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</si>
  <si>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</si>
  <si>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</si>
  <si>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</si>
  <si>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</si>
  <si>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</si>
  <si>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</si>
  <si>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</si>
  <si>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存贷比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</si>
  <si>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</si>
  <si>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</si>
  <si>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</si>
  <si>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</si>
  <si>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</si>
  <si>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</si>
  <si>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</si>
  <si>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</si>
  <si>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</si>
  <si>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</si>
  <si>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</si>
  <si>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</si>
  <si>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</si>
  <si>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</si>
  <si>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</si>
  <si>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</si>
  <si>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</si>
  <si>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</si>
  <si>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</si>
  <si>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</si>
  <si>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</si>
  <si>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</si>
  <si>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</si>
  <si>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</si>
  <si>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</si>
  <si>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</si>
  <si>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</si>
  <si>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</si>
  <si>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</si>
  <si>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</si>
  <si>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</si>
  <si>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</si>
  <si>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</si>
  <si>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</si>
  <si>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</si>
  <si>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</si>
  <si>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</si>
  <si>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</si>
  <si>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</si>
  <si>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</si>
  <si>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</si>
  <si>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</si>
  <si>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t>不良贷款计提表</t>
    <phoneticPr fontId="4" type="noConversion"/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</si>
  <si>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</si>
  <si>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</si>
  <si>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</si>
  <si>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</si>
  <si>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</si>
  <si>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</si>
  <si>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</si>
  <si>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</si>
  <si>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</si>
  <si>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</si>
  <si>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</si>
  <si>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</si>
  <si>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</si>
  <si>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</si>
  <si>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</si>
  <si>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</si>
  <si>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</si>
  <si>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</si>
  <si>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</si>
  <si>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</si>
  <si>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</si>
  <si>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</si>
  <si>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</si>
  <si>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</si>
  <si>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</si>
  <si>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</si>
  <si>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</si>
  <si>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</si>
  <si>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</si>
  <si>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</si>
  <si>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</si>
  <si>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</si>
  <si>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</si>
  <si>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</si>
  <si>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</si>
  <si>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</si>
  <si>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</si>
  <si>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</si>
  <si>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</si>
  <si>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</si>
  <si>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</si>
  <si>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</si>
  <si>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</si>
  <si>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</si>
  <si>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</si>
  <si>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</si>
  <si>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</si>
  <si>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</si>
  <si>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</si>
  <si>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</si>
  <si>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</si>
  <si>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</si>
  <si>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</si>
  <si>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</si>
  <si>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</si>
  <si>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</si>
  <si>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</si>
  <si>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</si>
  <si>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</si>
  <si>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</si>
  <si>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</si>
  <si>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</si>
  <si>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</si>
  <si>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</si>
  <si>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</si>
  <si>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</si>
  <si>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</si>
  <si>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</si>
  <si>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</si>
  <si>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</si>
  <si>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</si>
  <si>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</si>
  <si>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</si>
  <si>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</si>
  <si>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</si>
  <si>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</si>
  <si>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</si>
  <si>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</si>
  <si>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</si>
  <si>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</si>
  <si>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</si>
  <si>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</si>
  <si>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</si>
  <si>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</si>
  <si>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</si>
  <si>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</si>
  <si>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</si>
  <si>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</si>
  <si>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</si>
  <si>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</si>
  <si>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</si>
  <si>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</si>
  <si>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</si>
  <si>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</si>
  <si>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</si>
  <si>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</si>
  <si>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</si>
  <si>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</si>
  <si>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</si>
  <si>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</si>
  <si>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</si>
  <si>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</si>
  <si>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</si>
  <si>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</si>
  <si>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</si>
  <si>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</si>
  <si>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</si>
  <si>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</si>
  <si>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</si>
  <si>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</si>
  <si>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</si>
  <si>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</si>
  <si>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</si>
  <si>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</si>
  <si>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</si>
  <si>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</si>
  <si>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</si>
  <si>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</si>
  <si>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</si>
  <si>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</si>
  <si>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</si>
  <si>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</si>
  <si>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</si>
  <si>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</si>
  <si>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</si>
  <si>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</si>
  <si>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</si>
  <si>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</si>
  <si>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</si>
  <si>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</si>
  <si>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</si>
  <si>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</si>
  <si>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</si>
  <si>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</si>
  <si>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</si>
  <si>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</si>
  <si>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</si>
  <si>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</si>
  <si>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</si>
  <si>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</si>
  <si>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</si>
  <si>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</si>
  <si>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</si>
  <si>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</si>
  <si>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</si>
  <si>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</si>
  <si>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</si>
  <si>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</si>
  <si>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</si>
  <si>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</si>
  <si>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</si>
  <si>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</si>
  <si>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</si>
  <si>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</si>
  <si>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</si>
  <si>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</si>
  <si>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</si>
  <si>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</si>
  <si>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</si>
  <si>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</si>
  <si>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</si>
  <si>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</si>
  <si>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</si>
  <si>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</si>
  <si>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</si>
  <si>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</si>
  <si>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</si>
  <si>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</si>
  <si>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</si>
  <si>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</si>
  <si>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</si>
  <si>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</si>
  <si>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</si>
  <si>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</si>
  <si>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</si>
  <si>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</si>
  <si>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</si>
  <si>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</si>
  <si>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</si>
  <si>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</si>
  <si>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</si>
  <si>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</si>
  <si>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</si>
  <si>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</si>
  <si>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</si>
  <si>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</si>
  <si>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</si>
  <si>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</si>
  <si>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</si>
  <si>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</si>
  <si>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</si>
  <si>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</si>
  <si>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</si>
  <si>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</si>
  <si>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</si>
  <si>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</si>
  <si>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</si>
  <si>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</si>
  <si>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</si>
  <si>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</si>
  <si>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</si>
  <si>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</si>
  <si>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</si>
  <si>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</si>
  <si>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</si>
  <si>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</si>
  <si>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</si>
  <si>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</si>
  <si>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</si>
  <si>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</si>
  <si>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</si>
  <si>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</si>
  <si>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</si>
  <si>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</si>
  <si>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</si>
  <si>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</si>
  <si>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</si>
  <si>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7" type="noConversion"/>
  </si>
  <si>
    <r>
      <rPr>
        <sz val="10"/>
        <rFont val="楷体"/>
        <family val="3"/>
        <charset val="134"/>
      </rPr>
      <t>变动</t>
    </r>
    <phoneticPr fontId="27" type="noConversion"/>
  </si>
  <si>
    <r>
      <rPr>
        <sz val="10"/>
        <rFont val="楷体"/>
        <family val="3"/>
        <charset val="134"/>
      </rPr>
      <t>变动</t>
    </r>
    <phoneticPr fontId="27" type="noConversion"/>
  </si>
  <si>
    <r>
      <rPr>
        <sz val="10"/>
        <rFont val="楷体"/>
        <family val="3"/>
        <charset val="134"/>
      </rPr>
      <t>交易性金融资产</t>
    </r>
    <phoneticPr fontId="27" type="noConversion"/>
  </si>
  <si>
    <r>
      <rPr>
        <sz val="10"/>
        <rFont val="楷体"/>
        <family val="3"/>
        <charset val="134"/>
      </rPr>
      <t>持有至到期投资</t>
    </r>
    <phoneticPr fontId="27" type="noConversion"/>
  </si>
  <si>
    <r>
      <rPr>
        <sz val="10"/>
        <rFont val="楷体"/>
        <family val="3"/>
        <charset val="134"/>
      </rPr>
      <t>可供出售金融资产</t>
    </r>
    <phoneticPr fontId="27" type="noConversion"/>
  </si>
  <si>
    <r>
      <rPr>
        <sz val="10"/>
        <rFont val="楷体"/>
        <family val="3"/>
        <charset val="134"/>
      </rPr>
      <t>应收款项类投资</t>
    </r>
    <phoneticPr fontId="27" type="noConversion"/>
  </si>
  <si>
    <r>
      <rPr>
        <sz val="10"/>
        <rFont val="楷体"/>
        <family val="3"/>
        <charset val="134"/>
      </rPr>
      <t>政府债</t>
    </r>
    <phoneticPr fontId="27" type="noConversion"/>
  </si>
  <si>
    <t>投资类占比分析</t>
    <phoneticPr fontId="4" type="noConversion"/>
  </si>
  <si>
    <t>资产质量</t>
    <phoneticPr fontId="4" type="noConversion"/>
  </si>
  <si>
    <t>投资类资产分析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</si>
  <si>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</si>
  <si>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</si>
  <si>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</si>
  <si>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工商银行</t>
  </si>
  <si>
    <t>年初余额</t>
  </si>
  <si>
    <t>本年计提</t>
  </si>
  <si>
    <t>其中：本年新增</t>
  </si>
  <si>
    <t xml:space="preserve">              本年划转</t>
  </si>
  <si>
    <t xml:space="preserve">              本年回拨</t>
  </si>
  <si>
    <t>已减值贷款利息收入</t>
  </si>
  <si>
    <t>收购子公司</t>
  </si>
  <si>
    <t>本年核销</t>
  </si>
  <si>
    <t>收回以前年度核销</t>
  </si>
  <si>
    <t>其他变动</t>
  </si>
  <si>
    <t>年末余额</t>
  </si>
  <si>
    <t>不良余额</t>
  </si>
  <si>
    <t>核销汇总</t>
  </si>
  <si>
    <t>计提</t>
  </si>
  <si>
    <t>核销及转出</t>
  </si>
  <si>
    <t>不良生成额</t>
  </si>
  <si>
    <t>不良生成率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</si>
  <si>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</si>
  <si>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</si>
  <si>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</si>
  <si>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</si>
  <si>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</si>
  <si>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</si>
  <si>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</si>
  <si>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</si>
  <si>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rgb="FF000000"/>
        <rFont val="楷体"/>
        <family val="3"/>
        <charset val="134"/>
      </rPr>
      <t>政府债</t>
    </r>
  </si>
  <si>
    <r>
      <rPr>
        <sz val="9"/>
        <color rgb="FF000000"/>
        <rFont val="楷体"/>
        <family val="3"/>
        <charset val="134"/>
      </rPr>
      <t>政策性银行</t>
    </r>
  </si>
  <si>
    <r>
      <rPr>
        <sz val="9"/>
        <color rgb="FF000000"/>
        <rFont val="楷体"/>
        <family val="3"/>
        <charset val="134"/>
      </rPr>
      <t>公共实体</t>
    </r>
  </si>
  <si>
    <r>
      <rPr>
        <sz val="9"/>
        <color rgb="FF000000"/>
        <rFont val="楷体"/>
        <family val="3"/>
        <charset val="134"/>
      </rPr>
      <t>金融债</t>
    </r>
  </si>
  <si>
    <r>
      <rPr>
        <sz val="9"/>
        <color rgb="FF000000"/>
        <rFont val="楷体"/>
        <family val="3"/>
        <charset val="134"/>
      </rPr>
      <t>企业债</t>
    </r>
  </si>
  <si>
    <r>
      <rPr>
        <sz val="9"/>
        <color rgb="FF000000"/>
        <rFont val="楷体"/>
        <family val="3"/>
        <charset val="134"/>
      </rPr>
      <t>权益投资</t>
    </r>
  </si>
  <si>
    <r>
      <rPr>
        <sz val="9"/>
        <color rgb="FF000000"/>
        <rFont val="楷体"/>
        <family val="3"/>
        <charset val="134"/>
      </rPr>
      <t>其他债务工具</t>
    </r>
  </si>
  <si>
    <r>
      <rPr>
        <sz val="9"/>
        <color rgb="FF000000"/>
        <rFont val="楷体"/>
        <family val="3"/>
        <charset val="134"/>
      </rPr>
      <t>其他投资</t>
    </r>
  </si>
  <si>
    <r>
      <rPr>
        <sz val="9"/>
        <color rgb="FF000000"/>
        <rFont val="楷体"/>
        <family val="3"/>
        <charset val="134"/>
      </rPr>
      <t>债券</t>
    </r>
  </si>
  <si>
    <r>
      <rPr>
        <sz val="9"/>
        <color rgb="FF000000"/>
        <rFont val="楷体"/>
        <family val="3"/>
        <charset val="134"/>
      </rPr>
      <t>国债</t>
    </r>
  </si>
  <si>
    <r>
      <rPr>
        <sz val="9"/>
        <color rgb="FF000000"/>
        <rFont val="楷体"/>
        <family val="3"/>
        <charset val="134"/>
      </rPr>
      <t>其他</t>
    </r>
  </si>
  <si>
    <r>
      <rPr>
        <sz val="9"/>
        <color rgb="FF000000"/>
        <rFont val="楷体"/>
        <family val="3"/>
        <charset val="134"/>
      </rPr>
      <t>（亿元）</t>
    </r>
  </si>
  <si>
    <r>
      <rPr>
        <sz val="9"/>
        <color rgb="FF000000"/>
        <rFont val="楷体"/>
        <family val="3"/>
        <charset val="134"/>
      </rPr>
      <t>变动</t>
    </r>
  </si>
  <si>
    <r>
      <rPr>
        <b/>
        <sz val="9"/>
        <color rgb="FF000000"/>
        <rFont val="楷体"/>
        <family val="3"/>
        <charset val="134"/>
      </rPr>
      <t>交易性金融资产</t>
    </r>
  </si>
  <si>
    <r>
      <rPr>
        <b/>
        <sz val="9"/>
        <color rgb="FF000000"/>
        <rFont val="楷体"/>
        <family val="3"/>
        <charset val="134"/>
      </rPr>
      <t>持有至到期投资</t>
    </r>
  </si>
  <si>
    <r>
      <rPr>
        <b/>
        <sz val="9"/>
        <color rgb="FF000000"/>
        <rFont val="楷体"/>
        <family val="3"/>
        <charset val="134"/>
      </rPr>
      <t>可供出售金融资产</t>
    </r>
  </si>
  <si>
    <r>
      <rPr>
        <b/>
        <sz val="9"/>
        <color rgb="FF000000"/>
        <rFont val="楷体"/>
        <family val="3"/>
        <charset val="134"/>
      </rPr>
      <t>应收款项类投资</t>
    </r>
  </si>
  <si>
    <r>
      <rPr>
        <sz val="9"/>
        <color rgb="FF000000"/>
        <rFont val="楷体"/>
        <family val="3"/>
        <charset val="134"/>
      </rPr>
      <t>政策性银行债</t>
    </r>
  </si>
  <si>
    <r>
      <rPr>
        <sz val="9"/>
        <color rgb="FF000000"/>
        <rFont val="楷体"/>
        <family val="3"/>
        <charset val="134"/>
      </rPr>
      <t>金融债券</t>
    </r>
  </si>
  <si>
    <r>
      <rPr>
        <sz val="9"/>
        <color rgb="FF000000"/>
        <rFont val="楷体"/>
        <family val="3"/>
        <charset val="134"/>
      </rPr>
      <t>企业债券</t>
    </r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</si>
  <si>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</si>
  <si>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</si>
  <si>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7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</si>
  <si>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</si>
  <si>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</si>
  <si>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7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</si>
  <si>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</si>
  <si>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</si>
  <si>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</si>
  <si>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</si>
  <si>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</si>
  <si>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</si>
  <si>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</si>
  <si>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</si>
  <si>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</si>
  <si>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</si>
  <si>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</si>
  <si>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</si>
  <si>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</si>
  <si>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</si>
  <si>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</si>
  <si>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</si>
  <si>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</si>
  <si>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</si>
  <si>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</si>
  <si>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7" type="noConversion"/>
  </si>
  <si>
    <r>
      <rPr>
        <sz val="9"/>
        <color theme="1"/>
        <rFont val="楷体"/>
        <family val="3"/>
        <charset val="134"/>
      </rPr>
      <t>本年核销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</si>
  <si>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</si>
  <si>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7" type="noConversion"/>
  </si>
  <si>
    <r>
      <rPr>
        <sz val="9"/>
        <color theme="1"/>
        <rFont val="楷体"/>
        <family val="3"/>
        <charset val="134"/>
      </rPr>
      <t>不良余额</t>
    </r>
    <phoneticPr fontId="27" type="noConversion"/>
  </si>
  <si>
    <r>
      <rPr>
        <sz val="9"/>
        <color theme="1"/>
        <rFont val="楷体"/>
        <family val="3"/>
        <charset val="134"/>
      </rPr>
      <t>贷款总额</t>
    </r>
    <phoneticPr fontId="27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</si>
  <si>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</si>
  <si>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</si>
  <si>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</si>
  <si>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</si>
  <si>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</si>
  <si>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</si>
  <si>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</si>
  <si>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</si>
  <si>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</si>
  <si>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</si>
  <si>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</si>
  <si>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</si>
  <si>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</si>
  <si>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</si>
  <si>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</si>
  <si>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</si>
  <si>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</si>
  <si>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</si>
  <si>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7" type="noConversion"/>
  </si>
  <si>
    <r>
      <rPr>
        <sz val="9"/>
        <color theme="1"/>
        <rFont val="楷体"/>
        <family val="3"/>
        <charset val="134"/>
      </rPr>
      <t>贷款总额</t>
    </r>
    <phoneticPr fontId="27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</si>
  <si>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</si>
  <si>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</si>
  <si>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投资类资产分析</t>
  </si>
  <si>
    <t>投资类占比分析</t>
  </si>
  <si>
    <t>选择科目↓↓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</si>
</sst>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4" formatCode="###,###,##0.00"/>
    <numFmt numFmtId="195" formatCode="0.00_ "/>
    <numFmt numFmtId="196" formatCode="0.0_ "/>
  </numFmts>
  <fonts count="55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sz val="10"/>
      <color rgb="FFFF0000"/>
      <name val="等线"/>
      <family val="2"/>
      <scheme val="minor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9"/>
      <color rgb="FF000000"/>
      <name val="Times New Roman"/>
      <family val="1"/>
    </font>
    <font>
      <b/>
      <sz val="9"/>
      <color rgb="FF000000"/>
      <name val="楷体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10"/>
      <color theme="0"/>
      <name val="Times New Roman"/>
      <family val="1"/>
    </font>
    <font>
      <sz val="9"/>
      <color theme="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</fills>
  <borders count="4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8" fillId="0" borderId="0">
      <alignment vertical="center"/>
    </xf>
  </cellStyleXfs>
  <cellXfs count="708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0" fontId="9" fillId="2" borderId="1" xfId="2" applyFont="1" applyFill="1" applyBorder="1" applyAlignment="1">
      <alignment horizontal="center"/>
    </xf>
    <xf numFmtId="0" fontId="3" fillId="2" borderId="1" xfId="2" applyFont="1" applyFill="1" applyBorder="1" applyAlignment="1" applyProtection="1">
      <alignment horizontal="right"/>
    </xf>
    <xf numFmtId="0" fontId="10" fillId="0" borderId="0" xfId="2" applyFont="1"/>
    <xf numFmtId="0" fontId="11" fillId="2" borderId="1" xfId="2" applyFont="1" applyFill="1" applyBorder="1" applyAlignment="1" applyProtection="1">
      <alignment horizontal="right"/>
    </xf>
    <xf numFmtId="14" fontId="3" fillId="2" borderId="1" xfId="2" applyNumberFormat="1" applyFont="1" applyFill="1" applyBorder="1" applyAlignment="1" applyProtection="1">
      <alignment horizontal="center"/>
    </xf>
    <xf numFmtId="0" fontId="11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1" fillId="2" borderId="0" xfId="2" applyFont="1" applyFill="1" applyAlignment="1" applyProtection="1">
      <alignment horizontal="right"/>
    </xf>
    <xf numFmtId="0" fontId="11" fillId="2" borderId="0" xfId="2" applyNumberFormat="1" applyFont="1" applyFill="1" applyBorder="1" applyAlignment="1" applyProtection="1">
      <alignment horizontal="center"/>
    </xf>
    <xf numFmtId="0" fontId="5" fillId="0" borderId="0" xfId="2" applyFont="1" applyFill="1" applyBorder="1" applyAlignment="1" applyProtection="1">
      <alignment horizontal="left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0" fontId="3" fillId="2" borderId="1" xfId="2" applyNumberFormat="1" applyFont="1" applyFill="1" applyBorder="1" applyAlignment="1" applyProtection="1">
      <alignment horizontal="center"/>
    </xf>
    <xf numFmtId="0" fontId="3" fillId="0" borderId="1" xfId="2" applyNumberFormat="1" applyFont="1" applyFill="1" applyBorder="1" applyAlignment="1" applyProtection="1">
      <alignment horizontal="center"/>
    </xf>
    <xf numFmtId="0" fontId="3" fillId="3" borderId="1" xfId="2" applyNumberFormat="1" applyFont="1" applyFill="1" applyBorder="1" applyAlignment="1" applyProtection="1">
      <alignment horizontal="center"/>
    </xf>
    <xf numFmtId="0" fontId="2" fillId="0" borderId="2" xfId="2" applyFill="1" applyBorder="1"/>
    <xf numFmtId="177" fontId="2" fillId="4" borderId="3" xfId="3" applyNumberFormat="1" applyFill="1" applyBorder="1">
      <alignment horizontal="right" vertical="center"/>
    </xf>
    <xf numFmtId="176" fontId="2" fillId="2" borderId="0" xfId="2" applyNumberFormat="1" applyFill="1"/>
    <xf numFmtId="9" fontId="2" fillId="2" borderId="0" xfId="2" applyNumberFormat="1" applyFill="1"/>
    <xf numFmtId="0" fontId="12" fillId="0" borderId="0" xfId="2" applyFont="1" applyFill="1"/>
    <xf numFmtId="0" fontId="12" fillId="2" borderId="0" xfId="2" applyFont="1" applyFill="1"/>
    <xf numFmtId="177" fontId="2" fillId="0" borderId="4" xfId="3" applyNumberFormat="1" applyFill="1" applyBorder="1">
      <alignment horizontal="right" vertical="center"/>
    </xf>
    <xf numFmtId="0" fontId="3" fillId="2" borderId="5" xfId="2" applyFont="1" applyFill="1" applyBorder="1"/>
    <xf numFmtId="177" fontId="3" fillId="4" borderId="6" xfId="3" applyNumberFormat="1" applyFont="1" applyFill="1" applyBorder="1">
      <alignment horizontal="right" vertical="center"/>
    </xf>
    <xf numFmtId="178" fontId="2" fillId="2" borderId="0" xfId="4">
      <alignment horizontal="right"/>
    </xf>
    <xf numFmtId="179" fontId="2" fillId="2" borderId="0" xfId="4" applyNumberFormat="1">
      <alignment horizontal="right"/>
    </xf>
    <xf numFmtId="10" fontId="2" fillId="2" borderId="0" xfId="4" applyNumberFormat="1">
      <alignment horizontal="right"/>
    </xf>
    <xf numFmtId="0" fontId="3" fillId="2" borderId="0" xfId="2" applyFont="1" applyFill="1"/>
    <xf numFmtId="10" fontId="2" fillId="0" borderId="0" xfId="2" applyNumberFormat="1" applyFill="1"/>
    <xf numFmtId="0" fontId="12" fillId="0" borderId="2" xfId="2" applyFont="1" applyFill="1" applyBorder="1"/>
    <xf numFmtId="177" fontId="2" fillId="4" borderId="7" xfId="3" applyNumberFormat="1" applyFill="1" applyBorder="1">
      <alignment horizontal="right" vertical="center"/>
    </xf>
    <xf numFmtId="0" fontId="2" fillId="0" borderId="0" xfId="2" applyFill="1"/>
    <xf numFmtId="177" fontId="2" fillId="4" borderId="4" xfId="3" applyNumberFormat="1" applyFill="1" applyBorder="1">
      <alignment horizontal="right" vertical="center"/>
    </xf>
    <xf numFmtId="9" fontId="2" fillId="3" borderId="0" xfId="2" applyNumberFormat="1" applyFill="1"/>
    <xf numFmtId="0" fontId="2" fillId="2" borderId="2" xfId="2" applyFill="1" applyBorder="1"/>
    <xf numFmtId="180" fontId="2" fillId="4" borderId="7" xfId="3" applyNumberFormat="1" applyFill="1" applyBorder="1">
      <alignment horizontal="right" vertical="center"/>
    </xf>
    <xf numFmtId="0" fontId="12" fillId="5" borderId="0" xfId="2" applyFont="1" applyFill="1" applyBorder="1"/>
    <xf numFmtId="0" fontId="2" fillId="5" borderId="0" xfId="2" applyFill="1"/>
    <xf numFmtId="180" fontId="2" fillId="5" borderId="8" xfId="3" applyNumberFormat="1" applyFill="1" applyBorder="1">
      <alignment horizontal="right" vertical="center"/>
    </xf>
    <xf numFmtId="0" fontId="12" fillId="5" borderId="0" xfId="2" applyFont="1" applyFill="1"/>
    <xf numFmtId="180" fontId="2" fillId="4" borderId="3" xfId="3" applyNumberFormat="1" applyFill="1" applyBorder="1">
      <alignment horizontal="right" vertical="center"/>
    </xf>
    <xf numFmtId="180" fontId="2" fillId="4" borderId="9" xfId="3" applyNumberFormat="1" applyFill="1" applyBorder="1">
      <alignment horizontal="right" vertical="center"/>
    </xf>
    <xf numFmtId="0" fontId="2" fillId="2" borderId="10" xfId="2" applyFill="1" applyBorder="1"/>
    <xf numFmtId="180" fontId="2" fillId="4" borderId="11" xfId="3" applyNumberFormat="1" applyFill="1" applyBorder="1">
      <alignment horizontal="right" vertical="center"/>
    </xf>
    <xf numFmtId="0" fontId="2" fillId="2" borderId="1" xfId="2" applyFill="1" applyBorder="1"/>
    <xf numFmtId="180" fontId="2" fillId="4" borderId="12" xfId="3" applyNumberFormat="1" applyFill="1" applyBorder="1">
      <alignment horizontal="right" vertical="center"/>
    </xf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3" fillId="6" borderId="0" xfId="2" applyFont="1" applyFill="1" applyProtection="1"/>
    <xf numFmtId="0" fontId="14" fillId="2" borderId="0" xfId="2" applyFont="1" applyFill="1"/>
    <xf numFmtId="176" fontId="14" fillId="7" borderId="0" xfId="2" applyNumberFormat="1" applyFont="1" applyFill="1"/>
    <xf numFmtId="0" fontId="5" fillId="3" borderId="0" xfId="2" applyFont="1" applyFill="1" applyBorder="1" applyAlignment="1" applyProtection="1">
      <alignment horizontal="left"/>
    </xf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181" fontId="2" fillId="2" borderId="0" xfId="2" applyNumberFormat="1" applyFill="1"/>
    <xf numFmtId="181" fontId="2" fillId="4" borderId="9" xfId="3" applyNumberFormat="1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182" fontId="2" fillId="4" borderId="3" xfId="3" applyNumberFormat="1" applyFill="1" applyBorder="1">
      <alignment horizontal="right" vertical="center"/>
    </xf>
    <xf numFmtId="182" fontId="2" fillId="4" borderId="12" xfId="3" applyNumberFormat="1" applyFill="1" applyBorder="1">
      <alignment horizontal="right" vertical="center"/>
    </xf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82" fontId="2" fillId="4" borderId="16" xfId="3" applyNumberFormat="1" applyFill="1" applyBorder="1">
      <alignment horizontal="right" vertical="center"/>
    </xf>
    <xf numFmtId="181" fontId="2" fillId="4" borderId="8" xfId="3" applyNumberFormat="1" applyFill="1" applyBorder="1">
      <alignment horizontal="right" vertical="center"/>
    </xf>
    <xf numFmtId="181" fontId="2" fillId="4" borderId="3" xfId="3" applyNumberFormat="1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181" fontId="2" fillId="4" borderId="17" xfId="3" applyNumberFormat="1" applyFill="1" applyBorder="1">
      <alignment horizontal="right" vertical="center"/>
    </xf>
    <xf numFmtId="182" fontId="2" fillId="4" borderId="8" xfId="3" applyNumberFormat="1" applyFill="1" applyBorder="1">
      <alignment horizontal="right" vertical="center"/>
    </xf>
    <xf numFmtId="176" fontId="2" fillId="5" borderId="18" xfId="3" applyFill="1" applyBorder="1">
      <alignment horizontal="right" vertical="center"/>
    </xf>
    <xf numFmtId="176" fontId="2" fillId="5" borderId="19" xfId="3" applyFill="1" applyBorder="1">
      <alignment horizontal="right" vertical="center"/>
    </xf>
    <xf numFmtId="182" fontId="2" fillId="5" borderId="0" xfId="3" applyNumberFormat="1" applyFill="1" applyBorder="1">
      <alignment horizontal="right" vertical="center"/>
    </xf>
    <xf numFmtId="0" fontId="2" fillId="5" borderId="0" xfId="2" applyFill="1" applyBorder="1"/>
    <xf numFmtId="182" fontId="2" fillId="0" borderId="0" xfId="3" applyNumberFormat="1" applyFill="1" applyBorder="1">
      <alignment horizontal="right" vertical="center"/>
    </xf>
    <xf numFmtId="0" fontId="2" fillId="0" borderId="0" xfId="2" applyFill="1" applyBorder="1"/>
    <xf numFmtId="182" fontId="2" fillId="4" borderId="11" xfId="3" applyNumberFormat="1" applyFill="1" applyBorder="1">
      <alignment horizontal="right" vertical="center"/>
    </xf>
    <xf numFmtId="182" fontId="2" fillId="4" borderId="20" xfId="3" applyNumberFormat="1" applyFill="1" applyBorder="1">
      <alignment horizontal="right" vertical="center"/>
    </xf>
    <xf numFmtId="0" fontId="3" fillId="2" borderId="2" xfId="2" applyFont="1" applyFill="1" applyBorder="1"/>
    <xf numFmtId="183" fontId="2" fillId="4" borderId="3" xfId="3" applyNumberFormat="1" applyFill="1" applyBorder="1">
      <alignment horizontal="right" vertical="center"/>
    </xf>
    <xf numFmtId="0" fontId="2" fillId="0" borderId="13" xfId="2" applyFill="1" applyBorder="1"/>
    <xf numFmtId="183" fontId="2" fillId="4" borderId="16" xfId="3" applyNumberFormat="1" applyFill="1" applyBorder="1">
      <alignment horizontal="right" vertical="center"/>
    </xf>
    <xf numFmtId="0" fontId="5" fillId="3" borderId="0" xfId="2" applyFont="1" applyFill="1" applyBorder="1" applyProtection="1"/>
    <xf numFmtId="0" fontId="15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2" fillId="2" borderId="0" xfId="2" applyFont="1" applyFill="1" applyBorder="1" applyAlignment="1">
      <alignment horizontal="left"/>
    </xf>
    <xf numFmtId="180" fontId="2" fillId="2" borderId="2" xfId="2" applyNumberFormat="1" applyFill="1" applyBorder="1"/>
    <xf numFmtId="0" fontId="12" fillId="2" borderId="0" xfId="2" applyFont="1" applyFill="1" applyBorder="1" applyAlignment="1" applyProtection="1">
      <alignment horizontal="left"/>
    </xf>
    <xf numFmtId="180" fontId="2" fillId="3" borderId="3" xfId="3" applyNumberFormat="1" applyFill="1" applyBorder="1">
      <alignment horizontal="right" vertical="center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180" fontId="3" fillId="2" borderId="10" xfId="3" applyNumberFormat="1" applyFont="1" applyBorder="1">
      <alignment horizontal="right" vertical="center"/>
    </xf>
    <xf numFmtId="0" fontId="5" fillId="2" borderId="13" xfId="2" applyNumberFormat="1" applyFont="1" applyFill="1" applyBorder="1" applyAlignment="1" applyProtection="1">
      <alignment horizontal="left"/>
    </xf>
    <xf numFmtId="180" fontId="3" fillId="2" borderId="13" xfId="2" applyNumberFormat="1" applyFont="1" applyFill="1" applyBorder="1"/>
    <xf numFmtId="176" fontId="14" fillId="3" borderId="0" xfId="2" applyNumberFormat="1" applyFont="1" applyFill="1"/>
    <xf numFmtId="0" fontId="15" fillId="2" borderId="13" xfId="2" applyFont="1" applyFill="1" applyBorder="1" applyProtection="1"/>
    <xf numFmtId="0" fontId="3" fillId="2" borderId="0" xfId="2" applyFont="1" applyFill="1" applyBorder="1" applyProtection="1"/>
    <xf numFmtId="180" fontId="2" fillId="8" borderId="21" xfId="3" applyNumberFormat="1" applyFill="1" applyBorder="1">
      <alignment horizontal="right" vertical="center"/>
    </xf>
    <xf numFmtId="0" fontId="12" fillId="2" borderId="10" xfId="2" applyFont="1" applyFill="1" applyBorder="1" applyProtection="1"/>
    <xf numFmtId="180" fontId="2" fillId="2" borderId="0" xfId="2" applyNumberFormat="1" applyFill="1"/>
    <xf numFmtId="0" fontId="5" fillId="2" borderId="13" xfId="2" applyFont="1" applyFill="1" applyBorder="1" applyProtection="1"/>
    <xf numFmtId="0" fontId="16" fillId="2" borderId="0" xfId="2" applyFont="1" applyFill="1" applyBorder="1" applyProtection="1"/>
    <xf numFmtId="0" fontId="5" fillId="2" borderId="0" xfId="2" applyFont="1" applyFill="1" applyBorder="1" applyProtection="1"/>
    <xf numFmtId="10" fontId="2" fillId="2" borderId="0" xfId="2" applyNumberFormat="1" applyFill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180" fontId="3" fillId="4" borderId="22" xfId="3" applyNumberFormat="1" applyFont="1" applyFill="1" applyBorder="1">
      <alignment horizontal="right" vertical="center"/>
    </xf>
    <xf numFmtId="0" fontId="5" fillId="3" borderId="15" xfId="2" applyFont="1" applyFill="1" applyBorder="1" applyProtection="1"/>
    <xf numFmtId="180" fontId="3" fillId="4" borderId="23" xfId="3" applyNumberFormat="1" applyFont="1" applyFill="1" applyBorder="1">
      <alignment horizontal="right" vertical="center"/>
    </xf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2" fillId="2" borderId="0" xfId="2" applyFont="1" applyFill="1" applyProtection="1"/>
    <xf numFmtId="0" fontId="12" fillId="2" borderId="1" xfId="2" applyFont="1" applyFill="1" applyBorder="1" applyProtection="1"/>
    <xf numFmtId="0" fontId="5" fillId="3" borderId="0" xfId="2" applyFont="1" applyFill="1" applyProtection="1"/>
    <xf numFmtId="176" fontId="3" fillId="4" borderId="11" xfId="3" applyFont="1" applyFill="1" applyBorder="1">
      <alignment horizontal="right" vertical="center"/>
    </xf>
    <xf numFmtId="0" fontId="12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180" fontId="3" fillId="4" borderId="18" xfId="3" applyNumberFormat="1" applyFont="1" applyFill="1" applyBorder="1">
      <alignment horizontal="right" vertical="center"/>
    </xf>
    <xf numFmtId="180" fontId="2" fillId="0" borderId="24" xfId="3" applyNumberFormat="1" applyFill="1" applyBorder="1">
      <alignment horizontal="right" vertical="center"/>
    </xf>
    <xf numFmtId="0" fontId="5" fillId="9" borderId="15" xfId="2" applyFont="1" applyFill="1" applyBorder="1" applyProtection="1"/>
    <xf numFmtId="0" fontId="5" fillId="2" borderId="15" xfId="2" applyFont="1" applyFill="1" applyBorder="1" applyProtection="1"/>
    <xf numFmtId="176" fontId="3" fillId="4" borderId="9" xfId="3" applyFont="1" applyFill="1" applyBorder="1">
      <alignment horizontal="right" vertical="center"/>
    </xf>
    <xf numFmtId="44" fontId="2" fillId="2" borderId="0" xfId="2" applyNumberFormat="1" applyFill="1"/>
    <xf numFmtId="176" fontId="3" fillId="10" borderId="23" xfId="2" applyNumberFormat="1" applyFont="1" applyFill="1" applyBorder="1"/>
    <xf numFmtId="176" fontId="3" fillId="0" borderId="25" xfId="2" applyNumberFormat="1" applyFont="1" applyFill="1" applyBorder="1"/>
    <xf numFmtId="176" fontId="3" fillId="0" borderId="15" xfId="2" applyNumberFormat="1" applyFont="1" applyFill="1" applyBorder="1"/>
    <xf numFmtId="176" fontId="2" fillId="10" borderId="11" xfId="2" applyNumberFormat="1" applyFill="1" applyBorder="1"/>
    <xf numFmtId="182" fontId="2" fillId="10" borderId="11" xfId="2" applyNumberFormat="1" applyFill="1" applyBorder="1"/>
    <xf numFmtId="176" fontId="3" fillId="8" borderId="23" xfId="2" applyNumberFormat="1" applyFont="1" applyFill="1" applyBorder="1"/>
    <xf numFmtId="0" fontId="17" fillId="2" borderId="0" xfId="2" applyFont="1" applyFill="1" applyAlignment="1" applyProtection="1">
      <alignment horizontal="left"/>
    </xf>
    <xf numFmtId="176" fontId="2" fillId="0" borderId="10" xfId="3" applyNumberFormat="1" applyFill="1" applyBorder="1">
      <alignment horizontal="right" vertical="center"/>
    </xf>
    <xf numFmtId="176" fontId="2" fillId="0" borderId="10" xfId="3" applyFill="1" applyBorder="1">
      <alignment horizontal="right" vertical="center"/>
    </xf>
    <xf numFmtId="0" fontId="5" fillId="0" borderId="0" xfId="2" applyFont="1" applyFill="1" applyAlignment="1" applyProtection="1">
      <alignment horizontal="left"/>
    </xf>
    <xf numFmtId="0" fontId="12" fillId="0" borderId="0" xfId="2" applyFont="1" applyFill="1" applyProtection="1"/>
    <xf numFmtId="176" fontId="2" fillId="0" borderId="0" xfId="2" applyNumberFormat="1" applyFill="1"/>
    <xf numFmtId="176" fontId="2" fillId="0" borderId="3" xfId="3" applyFill="1" applyBorder="1">
      <alignment horizontal="right" vertical="center"/>
    </xf>
    <xf numFmtId="176" fontId="3" fillId="10" borderId="23" xfId="3" applyFont="1" applyFill="1" applyBorder="1">
      <alignment horizontal="right" vertical="center"/>
    </xf>
    <xf numFmtId="176" fontId="2" fillId="4" borderId="6" xfId="3" applyFill="1" applyBorder="1">
      <alignment horizontal="right" vertical="center"/>
    </xf>
    <xf numFmtId="0" fontId="17" fillId="0" borderId="0" xfId="2" applyFont="1" applyFill="1" applyAlignment="1" applyProtection="1">
      <alignment horizontal="left"/>
    </xf>
    <xf numFmtId="0" fontId="14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10" fontId="3" fillId="4" borderId="18" xfId="3" applyNumberFormat="1" applyFont="1" applyFill="1" applyBorder="1">
      <alignment horizontal="right" vertical="center"/>
    </xf>
    <xf numFmtId="0" fontId="5" fillId="2" borderId="10" xfId="2" applyFont="1" applyFill="1" applyBorder="1" applyProtection="1"/>
    <xf numFmtId="184" fontId="3" fillId="4" borderId="26" xfId="5" applyFont="1" applyFill="1" applyBorder="1">
      <alignment horizontal="right" vertical="center"/>
    </xf>
    <xf numFmtId="184" fontId="2" fillId="4" borderId="17" xfId="5" applyFill="1" applyBorder="1">
      <alignment horizontal="right" vertical="center"/>
    </xf>
    <xf numFmtId="184" fontId="3" fillId="0" borderId="1" xfId="5" applyFont="1" applyFill="1" applyBorder="1">
      <alignment horizontal="right" vertical="center"/>
    </xf>
    <xf numFmtId="184" fontId="2" fillId="0" borderId="15" xfId="5" applyFill="1" applyBorder="1">
      <alignment horizontal="right" vertical="center"/>
    </xf>
    <xf numFmtId="0" fontId="3" fillId="0" borderId="15" xfId="5" applyNumberFormat="1" applyFont="1" applyFill="1" applyBorder="1">
      <alignment horizontal="right" vertical="center"/>
    </xf>
    <xf numFmtId="0" fontId="5" fillId="2" borderId="2" xfId="2" applyFont="1" applyFill="1" applyBorder="1"/>
    <xf numFmtId="10" fontId="3" fillId="4" borderId="7" xfId="5" applyNumberFormat="1" applyFont="1" applyFill="1" applyBorder="1">
      <alignment horizontal="right" vertical="center"/>
    </xf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5" fillId="3" borderId="0" xfId="2" applyFont="1" applyFill="1"/>
    <xf numFmtId="0" fontId="12" fillId="2" borderId="2" xfId="2" applyFont="1" applyFill="1" applyBorder="1"/>
    <xf numFmtId="0" fontId="12" fillId="2" borderId="0" xfId="2" applyFont="1" applyFill="1" applyBorder="1"/>
    <xf numFmtId="0" fontId="12" fillId="2" borderId="1" xfId="2" applyFont="1" applyFill="1" applyBorder="1"/>
    <xf numFmtId="10" fontId="3" fillId="4" borderId="11" xfId="5" applyNumberFormat="1" applyFont="1" applyFill="1" applyBorder="1">
      <alignment horizontal="right" vertical="center"/>
    </xf>
    <xf numFmtId="10" fontId="3" fillId="4" borderId="8" xfId="5" applyNumberFormat="1" applyFont="1" applyFill="1" applyBorder="1">
      <alignment horizontal="right" vertical="center"/>
    </xf>
    <xf numFmtId="10" fontId="3" fillId="4" borderId="16" xfId="5" applyNumberFormat="1" applyFont="1" applyFill="1" applyBorder="1">
      <alignment horizontal="right" vertical="center"/>
    </xf>
    <xf numFmtId="0" fontId="15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85" fontId="3" fillId="4" borderId="18" xfId="3" applyNumberFormat="1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80" fontId="2" fillId="0" borderId="4" xfId="3" applyNumberFormat="1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180" fontId="2" fillId="0" borderId="27" xfId="3" applyNumberFormat="1" applyFill="1" applyBorder="1">
      <alignment horizontal="right" vertical="center"/>
    </xf>
    <xf numFmtId="186" fontId="2" fillId="0" borderId="27" xfId="3" applyNumberFormat="1" applyFill="1" applyBorder="1">
      <alignment horizontal="right" vertical="center"/>
    </xf>
    <xf numFmtId="0" fontId="5" fillId="0" borderId="13" xfId="2" applyFont="1" applyFill="1" applyBorder="1" applyProtection="1"/>
    <xf numFmtId="180" fontId="2" fillId="4" borderId="23" xfId="3" applyNumberFormat="1" applyFill="1" applyBorder="1">
      <alignment horizontal="right" vertical="center"/>
    </xf>
    <xf numFmtId="176" fontId="3" fillId="2" borderId="0" xfId="3" applyFont="1" applyBorder="1">
      <alignment horizontal="right" vertical="center"/>
    </xf>
    <xf numFmtId="0" fontId="14" fillId="2" borderId="0" xfId="2" applyFont="1" applyFill="1" applyBorder="1" applyProtection="1"/>
    <xf numFmtId="43" fontId="18" fillId="2" borderId="0" xfId="2" applyNumberFormat="1" applyFont="1" applyFill="1" applyProtection="1"/>
    <xf numFmtId="183" fontId="2" fillId="2" borderId="0" xfId="2" applyNumberFormat="1" applyFill="1"/>
    <xf numFmtId="0" fontId="19" fillId="2" borderId="0" xfId="2" applyFont="1" applyFill="1" applyBorder="1" applyProtection="1"/>
    <xf numFmtId="0" fontId="12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183" fontId="2" fillId="0" borderId="0" xfId="2" applyNumberFormat="1" applyFill="1"/>
    <xf numFmtId="0" fontId="12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0" fontId="12" fillId="0" borderId="13" xfId="2" applyFont="1" applyFill="1" applyBorder="1"/>
    <xf numFmtId="187" fontId="2" fillId="4" borderId="28" xfId="3" applyNumberFormat="1" applyFill="1" applyBorder="1">
      <alignment horizontal="right" vertical="center"/>
    </xf>
    <xf numFmtId="188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2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1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20" fillId="0" borderId="0" xfId="0" applyFont="1"/>
    <xf numFmtId="0" fontId="0" fillId="0" borderId="0" xfId="0" applyBorder="1"/>
    <xf numFmtId="2" fontId="24" fillId="0" borderId="0" xfId="0" applyNumberFormat="1" applyFont="1" applyBorder="1"/>
    <xf numFmtId="0" fontId="25" fillId="0" borderId="0" xfId="0" applyFont="1"/>
    <xf numFmtId="0" fontId="20" fillId="0" borderId="0" xfId="0" applyFont="1" applyFill="1" applyBorder="1"/>
    <xf numFmtId="0" fontId="0" fillId="0" borderId="0" xfId="0" applyFill="1" applyBorder="1"/>
    <xf numFmtId="0" fontId="0" fillId="0" borderId="0" xfId="0" applyFill="1"/>
    <xf numFmtId="2" fontId="24" fillId="0" borderId="1" xfId="0" applyNumberFormat="1" applyFont="1" applyBorder="1"/>
    <xf numFmtId="0" fontId="20" fillId="0" borderId="29" xfId="0" applyFont="1" applyBorder="1"/>
    <xf numFmtId="0" fontId="20" fillId="0" borderId="30" xfId="0" applyFont="1" applyBorder="1"/>
    <xf numFmtId="0" fontId="25" fillId="0" borderId="29" xfId="0" applyFont="1" applyBorder="1"/>
    <xf numFmtId="0" fontId="0" fillId="0" borderId="30" xfId="0" applyBorder="1"/>
    <xf numFmtId="14" fontId="21" fillId="2" borderId="1" xfId="2" applyNumberFormat="1" applyFont="1" applyFill="1" applyBorder="1" applyAlignment="1" applyProtection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14" fontId="32" fillId="2" borderId="0" xfId="2" applyNumberFormat="1" applyFont="1" applyFill="1"/>
    <xf numFmtId="0" fontId="32" fillId="2" borderId="0" xfId="2" applyFont="1" applyFill="1"/>
    <xf numFmtId="194" fontId="32" fillId="2" borderId="0" xfId="2" applyNumberFormat="1" applyFont="1" applyFill="1"/>
    <xf numFmtId="0" fontId="32" fillId="2" borderId="0" xfId="2" applyFont="1" applyFill="1" applyAlignment="1">
      <alignment horizontal="left"/>
    </xf>
    <xf numFmtId="10" fontId="32" fillId="2" borderId="0" xfId="2" applyNumberFormat="1" applyFont="1" applyFill="1"/>
    <xf numFmtId="0" fontId="21" fillId="2" borderId="0" xfId="2" applyFont="1" applyFill="1" applyBorder="1" applyAlignment="1"/>
    <xf numFmtId="37" fontId="21" fillId="2" borderId="0" xfId="2" applyNumberFormat="1" applyFont="1" applyFill="1" applyBorder="1" applyProtection="1"/>
    <xf numFmtId="0" fontId="21" fillId="2" borderId="0" xfId="2" applyFont="1" applyFill="1" applyBorder="1"/>
    <xf numFmtId="0" fontId="36" fillId="2" borderId="0" xfId="2" applyFont="1" applyFill="1" applyBorder="1"/>
    <xf numFmtId="0" fontId="37" fillId="2" borderId="0" xfId="2" applyFont="1" applyFill="1" applyAlignment="1">
      <alignment horizontal="left"/>
    </xf>
    <xf numFmtId="0" fontId="38" fillId="2" borderId="1" xfId="2" applyFont="1" applyFill="1" applyBorder="1" applyAlignment="1">
      <alignment horizontal="center"/>
    </xf>
    <xf numFmtId="0" fontId="21" fillId="2" borderId="1" xfId="2" applyFont="1" applyFill="1" applyBorder="1" applyAlignment="1" applyProtection="1">
      <alignment horizontal="right"/>
    </xf>
    <xf numFmtId="0" fontId="39" fillId="0" borderId="0" xfId="2" applyFont="1"/>
    <xf numFmtId="0" fontId="40" fillId="2" borderId="1" xfId="2" applyFont="1" applyFill="1" applyBorder="1" applyAlignment="1" applyProtection="1">
      <alignment horizontal="right"/>
    </xf>
    <xf numFmtId="0" fontId="40" fillId="2" borderId="0" xfId="2" applyFont="1" applyFill="1" applyBorder="1" applyAlignment="1" applyProtection="1">
      <alignment horizontal="right"/>
    </xf>
    <xf numFmtId="0" fontId="21" fillId="2" borderId="0" xfId="2" applyFont="1" applyFill="1" applyAlignment="1" applyProtection="1">
      <alignment horizontal="right"/>
    </xf>
    <xf numFmtId="0" fontId="40" fillId="2" borderId="0" xfId="2" applyFont="1" applyFill="1" applyAlignment="1" applyProtection="1">
      <alignment horizontal="right"/>
    </xf>
    <xf numFmtId="0" fontId="40" fillId="2" borderId="0" xfId="2" applyNumberFormat="1" applyFont="1" applyFill="1" applyBorder="1" applyAlignment="1" applyProtection="1">
      <alignment horizontal="center"/>
    </xf>
    <xf numFmtId="0" fontId="21" fillId="0" borderId="0" xfId="2" applyFont="1" applyFill="1" applyBorder="1" applyAlignment="1" applyProtection="1">
      <alignment horizontal="left"/>
    </xf>
    <xf numFmtId="0" fontId="21" fillId="2" borderId="0" xfId="2" applyNumberFormat="1" applyFont="1" applyFill="1" applyBorder="1" applyAlignment="1" applyProtection="1">
      <alignment horizontal="left"/>
    </xf>
    <xf numFmtId="0" fontId="21" fillId="2" borderId="1" xfId="2" applyNumberFormat="1" applyFont="1" applyFill="1" applyBorder="1" applyAlignment="1" applyProtection="1">
      <alignment horizontal="center"/>
    </xf>
    <xf numFmtId="0" fontId="21" fillId="0" borderId="1" xfId="2" applyNumberFormat="1" applyFont="1" applyFill="1" applyBorder="1" applyAlignment="1" applyProtection="1">
      <alignment horizontal="center"/>
    </xf>
    <xf numFmtId="0" fontId="21" fillId="3" borderId="1" xfId="2" applyNumberFormat="1" applyFont="1" applyFill="1" applyBorder="1" applyAlignment="1" applyProtection="1">
      <alignment horizontal="center"/>
    </xf>
    <xf numFmtId="0" fontId="32" fillId="0" borderId="2" xfId="2" applyFont="1" applyFill="1" applyBorder="1"/>
    <xf numFmtId="189" fontId="32" fillId="4" borderId="3" xfId="3" applyNumberFormat="1" applyFont="1" applyFill="1" applyBorder="1">
      <alignment horizontal="right" vertical="center"/>
    </xf>
    <xf numFmtId="0" fontId="32" fillId="0" borderId="0" xfId="2" applyFont="1" applyFill="1"/>
    <xf numFmtId="189" fontId="32" fillId="0" borderId="4" xfId="3" applyNumberFormat="1" applyFont="1" applyFill="1" applyBorder="1">
      <alignment horizontal="right" vertical="center"/>
    </xf>
    <xf numFmtId="0" fontId="21" fillId="2" borderId="5" xfId="2" applyFont="1" applyFill="1" applyBorder="1"/>
    <xf numFmtId="189" fontId="21" fillId="4" borderId="6" xfId="3" applyNumberFormat="1" applyFont="1" applyFill="1" applyBorder="1">
      <alignment horizontal="right" vertical="center"/>
    </xf>
    <xf numFmtId="189" fontId="32" fillId="2" borderId="0" xfId="2" applyNumberFormat="1" applyFont="1" applyFill="1"/>
    <xf numFmtId="0" fontId="21" fillId="2" borderId="0" xfId="2" applyFont="1" applyFill="1"/>
    <xf numFmtId="176" fontId="32" fillId="2" borderId="0" xfId="2" applyNumberFormat="1" applyFont="1" applyFill="1"/>
    <xf numFmtId="10" fontId="32" fillId="0" borderId="0" xfId="2" applyNumberFormat="1" applyFont="1" applyFill="1"/>
    <xf numFmtId="189" fontId="32" fillId="4" borderId="7" xfId="3" applyNumberFormat="1" applyFont="1" applyFill="1" applyBorder="1">
      <alignment horizontal="right" vertical="center"/>
    </xf>
    <xf numFmtId="0" fontId="32" fillId="3" borderId="0" xfId="2" applyFont="1" applyFill="1"/>
    <xf numFmtId="189" fontId="32" fillId="4" borderId="4" xfId="3" applyNumberFormat="1" applyFont="1" applyFill="1" applyBorder="1">
      <alignment horizontal="right" vertical="center"/>
    </xf>
    <xf numFmtId="0" fontId="32" fillId="2" borderId="2" xfId="2" applyFont="1" applyFill="1" applyBorder="1"/>
    <xf numFmtId="0" fontId="32" fillId="3" borderId="0" xfId="2" applyFont="1" applyFill="1" applyBorder="1"/>
    <xf numFmtId="189" fontId="32" fillId="4" borderId="8" xfId="3" applyNumberFormat="1" applyFont="1" applyFill="1" applyBorder="1">
      <alignment horizontal="right" vertical="center"/>
    </xf>
    <xf numFmtId="189" fontId="32" fillId="4" borderId="9" xfId="3" applyNumberFormat="1" applyFont="1" applyFill="1" applyBorder="1">
      <alignment horizontal="right" vertical="center"/>
    </xf>
    <xf numFmtId="0" fontId="32" fillId="2" borderId="10" xfId="2" applyFont="1" applyFill="1" applyBorder="1"/>
    <xf numFmtId="189" fontId="32" fillId="4" borderId="11" xfId="3" applyNumberFormat="1" applyFont="1" applyFill="1" applyBorder="1">
      <alignment horizontal="right" vertical="center"/>
    </xf>
    <xf numFmtId="0" fontId="32" fillId="2" borderId="1" xfId="2" applyFont="1" applyFill="1" applyBorder="1"/>
    <xf numFmtId="189" fontId="32" fillId="4" borderId="12" xfId="3" applyNumberFormat="1" applyFont="1" applyFill="1" applyBorder="1">
      <alignment horizontal="right" vertical="center"/>
    </xf>
    <xf numFmtId="0" fontId="21" fillId="2" borderId="10" xfId="2" applyFont="1" applyFill="1" applyBorder="1"/>
    <xf numFmtId="189" fontId="21" fillId="2" borderId="0" xfId="2" applyNumberFormat="1" applyFont="1" applyFill="1"/>
    <xf numFmtId="0" fontId="21" fillId="2" borderId="13" xfId="2" applyFont="1" applyFill="1" applyBorder="1"/>
    <xf numFmtId="189" fontId="21" fillId="2" borderId="13" xfId="2" applyNumberFormat="1" applyFont="1" applyFill="1" applyBorder="1"/>
    <xf numFmtId="0" fontId="39" fillId="6" borderId="0" xfId="2" applyFont="1" applyFill="1" applyProtection="1"/>
    <xf numFmtId="0" fontId="39" fillId="2" borderId="0" xfId="2" applyFont="1" applyFill="1"/>
    <xf numFmtId="189" fontId="39" fillId="7" borderId="0" xfId="2" applyNumberFormat="1" applyFont="1" applyFill="1"/>
    <xf numFmtId="0" fontId="21" fillId="3" borderId="0" xfId="2" applyFont="1" applyFill="1" applyBorder="1" applyAlignment="1" applyProtection="1">
      <alignment horizontal="left"/>
    </xf>
    <xf numFmtId="0" fontId="21" fillId="2" borderId="14" xfId="2" applyFont="1" applyFill="1" applyBorder="1"/>
    <xf numFmtId="189" fontId="21" fillId="2" borderId="14" xfId="2" applyNumberFormat="1" applyFont="1" applyFill="1" applyBorder="1"/>
    <xf numFmtId="181" fontId="32" fillId="2" borderId="0" xfId="2" applyNumberFormat="1" applyFont="1" applyFill="1"/>
    <xf numFmtId="0" fontId="32" fillId="2" borderId="15" xfId="2" applyFont="1" applyFill="1" applyBorder="1"/>
    <xf numFmtId="189" fontId="32" fillId="2" borderId="15" xfId="2" applyNumberFormat="1" applyFont="1" applyFill="1" applyBorder="1"/>
    <xf numFmtId="0" fontId="32" fillId="2" borderId="13" xfId="2" applyFont="1" applyFill="1" applyBorder="1"/>
    <xf numFmtId="189" fontId="32" fillId="4" borderId="16" xfId="3" applyNumberFormat="1" applyFont="1" applyFill="1" applyBorder="1">
      <alignment horizontal="right" vertical="center"/>
    </xf>
    <xf numFmtId="186" fontId="32" fillId="2" borderId="0" xfId="2" applyNumberFormat="1" applyFont="1" applyFill="1"/>
    <xf numFmtId="182" fontId="32" fillId="2" borderId="0" xfId="2" applyNumberFormat="1" applyFont="1" applyFill="1"/>
    <xf numFmtId="189" fontId="32" fillId="2" borderId="0" xfId="3" applyNumberFormat="1" applyFont="1" applyBorder="1">
      <alignment horizontal="right" vertical="center"/>
    </xf>
    <xf numFmtId="0" fontId="32" fillId="2" borderId="0" xfId="2" applyFont="1" applyFill="1" applyBorder="1"/>
    <xf numFmtId="0" fontId="21" fillId="2" borderId="15" xfId="2" applyFont="1" applyFill="1" applyBorder="1"/>
    <xf numFmtId="189" fontId="21" fillId="2" borderId="15" xfId="2" applyNumberFormat="1" applyFont="1" applyFill="1" applyBorder="1"/>
    <xf numFmtId="189" fontId="32" fillId="4" borderId="17" xfId="3" applyNumberFormat="1" applyFont="1" applyFill="1" applyBorder="1">
      <alignment horizontal="right" vertical="center"/>
    </xf>
    <xf numFmtId="186" fontId="32" fillId="4" borderId="18" xfId="3" applyNumberFormat="1" applyFont="1" applyFill="1" applyBorder="1">
      <alignment horizontal="right" vertical="center"/>
    </xf>
    <xf numFmtId="189" fontId="32" fillId="4" borderId="20" xfId="3" applyNumberFormat="1" applyFont="1" applyFill="1" applyBorder="1">
      <alignment horizontal="right" vertical="center"/>
    </xf>
    <xf numFmtId="0" fontId="21" fillId="2" borderId="2" xfId="2" applyFont="1" applyFill="1" applyBorder="1"/>
    <xf numFmtId="189" fontId="32" fillId="2" borderId="2" xfId="2" applyNumberFormat="1" applyFont="1" applyFill="1" applyBorder="1"/>
    <xf numFmtId="0" fontId="32" fillId="0" borderId="13" xfId="2" applyFont="1" applyFill="1" applyBorder="1"/>
    <xf numFmtId="0" fontId="21" fillId="3" borderId="0" xfId="2" applyFont="1" applyFill="1" applyBorder="1" applyProtection="1"/>
    <xf numFmtId="0" fontId="40" fillId="2" borderId="13" xfId="2" applyFont="1" applyFill="1" applyBorder="1" applyAlignment="1" applyProtection="1">
      <alignment horizontal="left"/>
    </xf>
    <xf numFmtId="0" fontId="32" fillId="2" borderId="0" xfId="2" applyFont="1" applyFill="1" applyBorder="1" applyAlignment="1" applyProtection="1">
      <alignment horizontal="center"/>
    </xf>
    <xf numFmtId="0" fontId="32" fillId="2" borderId="0" xfId="2" applyFont="1" applyFill="1" applyBorder="1" applyAlignment="1">
      <alignment horizontal="left"/>
    </xf>
    <xf numFmtId="0" fontId="32" fillId="2" borderId="0" xfId="2" applyFont="1" applyFill="1" applyBorder="1" applyAlignment="1" applyProtection="1">
      <alignment horizontal="left"/>
    </xf>
    <xf numFmtId="0" fontId="21" fillId="2" borderId="0" xfId="2" applyFont="1" applyFill="1" applyBorder="1" applyAlignment="1" applyProtection="1">
      <alignment horizontal="center"/>
    </xf>
    <xf numFmtId="0" fontId="21" fillId="2" borderId="10" xfId="2" applyNumberFormat="1" applyFont="1" applyFill="1" applyBorder="1" applyAlignment="1" applyProtection="1">
      <alignment horizontal="left"/>
    </xf>
    <xf numFmtId="189" fontId="21" fillId="2" borderId="10" xfId="3" applyNumberFormat="1" applyFont="1" applyBorder="1">
      <alignment horizontal="right" vertical="center"/>
    </xf>
    <xf numFmtId="0" fontId="21" fillId="2" borderId="13" xfId="2" applyNumberFormat="1" applyFont="1" applyFill="1" applyBorder="1" applyAlignment="1" applyProtection="1">
      <alignment horizontal="left"/>
    </xf>
    <xf numFmtId="0" fontId="40" fillId="2" borderId="13" xfId="2" applyFont="1" applyFill="1" applyBorder="1" applyProtection="1"/>
    <xf numFmtId="0" fontId="21" fillId="2" borderId="0" xfId="2" applyFont="1" applyFill="1" applyBorder="1" applyProtection="1"/>
    <xf numFmtId="189" fontId="32" fillId="8" borderId="21" xfId="3" applyNumberFormat="1" applyFont="1" applyFill="1" applyBorder="1">
      <alignment horizontal="right" vertical="center"/>
    </xf>
    <xf numFmtId="0" fontId="32" fillId="2" borderId="10" xfId="2" applyFont="1" applyFill="1" applyBorder="1" applyProtection="1"/>
    <xf numFmtId="0" fontId="21" fillId="2" borderId="13" xfId="2" applyFont="1" applyFill="1" applyBorder="1" applyProtection="1"/>
    <xf numFmtId="0" fontId="41" fillId="2" borderId="0" xfId="2" applyFont="1" applyFill="1" applyBorder="1" applyProtection="1"/>
    <xf numFmtId="0" fontId="21" fillId="2" borderId="0" xfId="2" applyFont="1" applyFill="1" applyAlignment="1" applyProtection="1">
      <alignment horizontal="left"/>
    </xf>
    <xf numFmtId="0" fontId="21" fillId="2" borderId="0" xfId="2" applyFont="1" applyFill="1" applyBorder="1" applyAlignment="1" applyProtection="1">
      <alignment horizontal="left"/>
    </xf>
    <xf numFmtId="0" fontId="21" fillId="2" borderId="14" xfId="2" applyFont="1" applyFill="1" applyBorder="1" applyProtection="1"/>
    <xf numFmtId="189" fontId="21" fillId="4" borderId="22" xfId="3" applyNumberFormat="1" applyFont="1" applyFill="1" applyBorder="1">
      <alignment horizontal="right" vertical="center"/>
    </xf>
    <xf numFmtId="0" fontId="21" fillId="3" borderId="15" xfId="2" applyFont="1" applyFill="1" applyBorder="1" applyProtection="1"/>
    <xf numFmtId="189" fontId="21" fillId="4" borderId="23" xfId="3" applyNumberFormat="1" applyFont="1" applyFill="1" applyBorder="1">
      <alignment horizontal="right" vertical="center"/>
    </xf>
    <xf numFmtId="0" fontId="32" fillId="2" borderId="0" xfId="2" applyFont="1" applyFill="1" applyProtection="1"/>
    <xf numFmtId="0" fontId="32" fillId="2" borderId="1" xfId="2" applyFont="1" applyFill="1" applyBorder="1" applyProtection="1"/>
    <xf numFmtId="0" fontId="21" fillId="3" borderId="0" xfId="2" applyFont="1" applyFill="1" applyProtection="1"/>
    <xf numFmtId="189" fontId="21" fillId="4" borderId="11" xfId="3" applyNumberFormat="1" applyFont="1" applyFill="1" applyBorder="1">
      <alignment horizontal="right" vertical="center"/>
    </xf>
    <xf numFmtId="0" fontId="32" fillId="2" borderId="0" xfId="2" applyFont="1" applyFill="1" applyBorder="1" applyProtection="1"/>
    <xf numFmtId="189" fontId="21" fillId="4" borderId="17" xfId="3" applyNumberFormat="1" applyFont="1" applyFill="1" applyBorder="1">
      <alignment horizontal="right" vertical="center"/>
    </xf>
    <xf numFmtId="0" fontId="21" fillId="2" borderId="5" xfId="2" applyFont="1" applyFill="1" applyBorder="1" applyProtection="1"/>
    <xf numFmtId="0" fontId="32" fillId="2" borderId="13" xfId="2" applyFont="1" applyFill="1" applyBorder="1" applyProtection="1"/>
    <xf numFmtId="0" fontId="21" fillId="2" borderId="1" xfId="2" applyFont="1" applyFill="1" applyBorder="1" applyProtection="1"/>
    <xf numFmtId="189" fontId="21" fillId="4" borderId="18" xfId="3" applyNumberFormat="1" applyFont="1" applyFill="1" applyBorder="1">
      <alignment horizontal="right" vertical="center"/>
    </xf>
    <xf numFmtId="189" fontId="32" fillId="0" borderId="24" xfId="3" applyNumberFormat="1" applyFont="1" applyFill="1" applyBorder="1">
      <alignment horizontal="right" vertical="center"/>
    </xf>
    <xf numFmtId="0" fontId="21" fillId="9" borderId="15" xfId="2" applyFont="1" applyFill="1" applyBorder="1" applyProtection="1"/>
    <xf numFmtId="0" fontId="21" fillId="2" borderId="15" xfId="2" applyFont="1" applyFill="1" applyBorder="1" applyProtection="1"/>
    <xf numFmtId="189" fontId="21" fillId="4" borderId="9" xfId="3" applyNumberFormat="1" applyFont="1" applyFill="1" applyBorder="1">
      <alignment horizontal="right" vertical="center"/>
    </xf>
    <xf numFmtId="189" fontId="21" fillId="0" borderId="25" xfId="2" applyNumberFormat="1" applyFont="1" applyFill="1" applyBorder="1"/>
    <xf numFmtId="189" fontId="21" fillId="0" borderId="15" xfId="2" applyNumberFormat="1" applyFont="1" applyFill="1" applyBorder="1"/>
    <xf numFmtId="189" fontId="32" fillId="10" borderId="11" xfId="2" applyNumberFormat="1" applyFont="1" applyFill="1" applyBorder="1"/>
    <xf numFmtId="189" fontId="21" fillId="10" borderId="23" xfId="2" applyNumberFormat="1" applyFont="1" applyFill="1" applyBorder="1"/>
    <xf numFmtId="0" fontId="41" fillId="2" borderId="0" xfId="2" applyFont="1" applyFill="1" applyAlignment="1" applyProtection="1">
      <alignment horizontal="left"/>
    </xf>
    <xf numFmtId="189" fontId="32" fillId="0" borderId="10" xfId="3" applyNumberFormat="1" applyFont="1" applyFill="1" applyBorder="1">
      <alignment horizontal="right" vertical="center"/>
    </xf>
    <xf numFmtId="0" fontId="21" fillId="0" borderId="0" xfId="2" applyFont="1" applyFill="1" applyAlignment="1" applyProtection="1">
      <alignment horizontal="left"/>
    </xf>
    <xf numFmtId="0" fontId="32" fillId="0" borderId="0" xfId="2" applyFont="1" applyFill="1" applyProtection="1"/>
    <xf numFmtId="189" fontId="32" fillId="0" borderId="0" xfId="2" applyNumberFormat="1" applyFont="1" applyFill="1"/>
    <xf numFmtId="189" fontId="32" fillId="0" borderId="3" xfId="3" applyNumberFormat="1" applyFont="1" applyFill="1" applyBorder="1">
      <alignment horizontal="right" vertical="center"/>
    </xf>
    <xf numFmtId="189" fontId="21" fillId="10" borderId="23" xfId="3" applyNumberFormat="1" applyFont="1" applyFill="1" applyBorder="1">
      <alignment horizontal="right" vertical="center"/>
    </xf>
    <xf numFmtId="189" fontId="32" fillId="4" borderId="6" xfId="3" applyNumberFormat="1" applyFont="1" applyFill="1" applyBorder="1">
      <alignment horizontal="right" vertical="center"/>
    </xf>
    <xf numFmtId="0" fontId="41" fillId="0" borderId="0" xfId="2" applyFont="1" applyFill="1" applyAlignment="1" applyProtection="1">
      <alignment horizontal="left"/>
    </xf>
    <xf numFmtId="0" fontId="39" fillId="0" borderId="0" xfId="2" applyFont="1" applyFill="1"/>
    <xf numFmtId="0" fontId="21" fillId="0" borderId="0" xfId="2" applyFont="1" applyFill="1" applyBorder="1" applyProtection="1"/>
    <xf numFmtId="176" fontId="32" fillId="0" borderId="0" xfId="3" applyFont="1" applyFill="1" applyBorder="1">
      <alignment horizontal="right" vertical="center"/>
    </xf>
    <xf numFmtId="10" fontId="21" fillId="0" borderId="18" xfId="3" applyNumberFormat="1" applyFont="1" applyFill="1" applyBorder="1">
      <alignment horizontal="right" vertical="center"/>
    </xf>
    <xf numFmtId="184" fontId="21" fillId="0" borderId="14" xfId="5" applyFont="1" applyFill="1" applyBorder="1">
      <alignment horizontal="right" vertical="center"/>
    </xf>
    <xf numFmtId="184" fontId="21" fillId="0" borderId="15" xfId="5" applyFont="1" applyFill="1" applyBorder="1">
      <alignment horizontal="right" vertical="center"/>
    </xf>
    <xf numFmtId="184" fontId="32" fillId="0" borderId="10" xfId="5" applyFont="1" applyFill="1" applyBorder="1">
      <alignment horizontal="right" vertical="center"/>
    </xf>
    <xf numFmtId="184" fontId="21" fillId="0" borderId="10" xfId="5" applyFont="1" applyFill="1" applyBorder="1">
      <alignment horizontal="right" vertical="center"/>
    </xf>
    <xf numFmtId="184" fontId="32" fillId="0" borderId="0" xfId="5" applyFont="1" applyFill="1" applyBorder="1">
      <alignment horizontal="right" vertical="center"/>
    </xf>
    <xf numFmtId="184" fontId="32" fillId="0" borderId="1" xfId="5" applyFont="1" applyFill="1" applyBorder="1">
      <alignment horizontal="right" vertical="center"/>
    </xf>
    <xf numFmtId="0" fontId="21" fillId="2" borderId="0" xfId="2" applyFont="1" applyFill="1" applyProtection="1"/>
    <xf numFmtId="184" fontId="21" fillId="0" borderId="0" xfId="5" applyFont="1" applyFill="1" applyBorder="1">
      <alignment horizontal="right" vertical="center"/>
    </xf>
    <xf numFmtId="184" fontId="32" fillId="0" borderId="5" xfId="5" applyFont="1" applyFill="1" applyBorder="1">
      <alignment horizontal="right" vertical="center"/>
    </xf>
    <xf numFmtId="10" fontId="21" fillId="4" borderId="18" xfId="3" applyNumberFormat="1" applyFont="1" applyFill="1" applyBorder="1">
      <alignment horizontal="right" vertical="center"/>
    </xf>
    <xf numFmtId="0" fontId="21" fillId="2" borderId="10" xfId="2" applyFont="1" applyFill="1" applyBorder="1" applyProtection="1"/>
    <xf numFmtId="184" fontId="32" fillId="4" borderId="17" xfId="5" applyFont="1" applyFill="1" applyBorder="1">
      <alignment horizontal="right" vertical="center"/>
    </xf>
    <xf numFmtId="184" fontId="21" fillId="0" borderId="1" xfId="5" applyFont="1" applyFill="1" applyBorder="1">
      <alignment horizontal="right" vertical="center"/>
    </xf>
    <xf numFmtId="184" fontId="32" fillId="0" borderId="15" xfId="5" applyFont="1" applyFill="1" applyBorder="1">
      <alignment horizontal="right" vertical="center"/>
    </xf>
    <xf numFmtId="0" fontId="21" fillId="0" borderId="15" xfId="5" applyNumberFormat="1" applyFont="1" applyFill="1" applyBorder="1">
      <alignment horizontal="right" vertical="center"/>
    </xf>
    <xf numFmtId="10" fontId="21" fillId="4" borderId="7" xfId="5" applyNumberFormat="1" applyFont="1" applyFill="1" applyBorder="1">
      <alignment horizontal="right" vertical="center"/>
    </xf>
    <xf numFmtId="184" fontId="21" fillId="2" borderId="0" xfId="5" applyFont="1" applyBorder="1">
      <alignment horizontal="right" vertical="center"/>
    </xf>
    <xf numFmtId="184" fontId="21" fillId="4" borderId="11" xfId="5" applyFont="1" applyFill="1" applyBorder="1">
      <alignment horizontal="right" vertical="center"/>
    </xf>
    <xf numFmtId="184" fontId="21" fillId="4" borderId="16" xfId="5" applyFont="1" applyFill="1" applyBorder="1">
      <alignment horizontal="right" vertical="center"/>
    </xf>
    <xf numFmtId="0" fontId="21" fillId="3" borderId="0" xfId="2" applyFont="1" applyFill="1"/>
    <xf numFmtId="180" fontId="32" fillId="4" borderId="7" xfId="3" applyNumberFormat="1" applyFont="1" applyFill="1" applyBorder="1">
      <alignment horizontal="right" vertical="center"/>
    </xf>
    <xf numFmtId="180" fontId="32" fillId="4" borderId="3" xfId="3" applyNumberFormat="1" applyFont="1" applyFill="1" applyBorder="1">
      <alignment horizontal="right" vertical="center"/>
    </xf>
    <xf numFmtId="180" fontId="32" fillId="4" borderId="9" xfId="3" applyNumberFormat="1" applyFont="1" applyFill="1" applyBorder="1">
      <alignment horizontal="right" vertical="center"/>
    </xf>
    <xf numFmtId="10" fontId="21" fillId="4" borderId="11" xfId="5" applyNumberFormat="1" applyFont="1" applyFill="1" applyBorder="1">
      <alignment horizontal="right" vertical="center"/>
    </xf>
    <xf numFmtId="10" fontId="21" fillId="4" borderId="8" xfId="5" applyNumberFormat="1" applyFont="1" applyFill="1" applyBorder="1">
      <alignment horizontal="right" vertical="center"/>
    </xf>
    <xf numFmtId="10" fontId="21" fillId="4" borderId="16" xfId="5" applyNumberFormat="1" applyFont="1" applyFill="1" applyBorder="1">
      <alignment horizontal="right" vertical="center"/>
    </xf>
    <xf numFmtId="0" fontId="40" fillId="2" borderId="0" xfId="2" applyFont="1" applyFill="1" applyBorder="1" applyProtection="1"/>
    <xf numFmtId="180" fontId="32" fillId="2" borderId="0" xfId="2" applyNumberFormat="1" applyFont="1" applyFill="1"/>
    <xf numFmtId="180" fontId="21" fillId="4" borderId="18" xfId="3" applyNumberFormat="1" applyFont="1" applyFill="1" applyBorder="1">
      <alignment horizontal="right" vertical="center"/>
    </xf>
    <xf numFmtId="185" fontId="21" fillId="4" borderId="18" xfId="3" applyNumberFormat="1" applyFont="1" applyFill="1" applyBorder="1">
      <alignment horizontal="right" vertical="center"/>
    </xf>
    <xf numFmtId="180" fontId="32" fillId="4" borderId="8" xfId="3" applyNumberFormat="1" applyFont="1" applyFill="1" applyBorder="1">
      <alignment horizontal="right" vertical="center"/>
    </xf>
    <xf numFmtId="176" fontId="32" fillId="4" borderId="8" xfId="3" applyFont="1" applyFill="1" applyBorder="1">
      <alignment horizontal="right" vertical="center"/>
    </xf>
    <xf numFmtId="176" fontId="32" fillId="4" borderId="3" xfId="3" applyFont="1" applyFill="1" applyBorder="1">
      <alignment horizontal="right" vertical="center"/>
    </xf>
    <xf numFmtId="180" fontId="32" fillId="0" borderId="4" xfId="3" applyNumberFormat="1" applyFont="1" applyFill="1" applyBorder="1">
      <alignment horizontal="right" vertical="center"/>
    </xf>
    <xf numFmtId="176" fontId="32" fillId="0" borderId="4" xfId="3" applyFont="1" applyFill="1" applyBorder="1">
      <alignment horizontal="right" vertical="center"/>
    </xf>
    <xf numFmtId="180" fontId="32" fillId="0" borderId="27" xfId="3" applyNumberFormat="1" applyFont="1" applyFill="1" applyBorder="1">
      <alignment horizontal="right" vertical="center"/>
    </xf>
    <xf numFmtId="186" fontId="32" fillId="0" borderId="27" xfId="3" applyNumberFormat="1" applyFont="1" applyFill="1" applyBorder="1">
      <alignment horizontal="right" vertical="center"/>
    </xf>
    <xf numFmtId="0" fontId="21" fillId="0" borderId="13" xfId="2" applyFont="1" applyFill="1" applyBorder="1" applyProtection="1"/>
    <xf numFmtId="186" fontId="32" fillId="4" borderId="16" xfId="3" applyNumberFormat="1" applyFont="1" applyFill="1" applyBorder="1">
      <alignment horizontal="right" vertical="center"/>
    </xf>
    <xf numFmtId="182" fontId="32" fillId="4" borderId="16" xfId="3" applyNumberFormat="1" applyFont="1" applyFill="1" applyBorder="1">
      <alignment horizontal="right" vertical="center"/>
    </xf>
    <xf numFmtId="180" fontId="32" fillId="4" borderId="12" xfId="3" applyNumberFormat="1" applyFont="1" applyFill="1" applyBorder="1">
      <alignment horizontal="right" vertical="center"/>
    </xf>
    <xf numFmtId="180" fontId="32" fillId="4" borderId="23" xfId="3" applyNumberFormat="1" applyFont="1" applyFill="1" applyBorder="1">
      <alignment horizontal="right" vertical="center"/>
    </xf>
    <xf numFmtId="176" fontId="21" fillId="2" borderId="0" xfId="3" applyFont="1" applyBorder="1">
      <alignment horizontal="right" vertical="center"/>
    </xf>
    <xf numFmtId="0" fontId="39" fillId="2" borderId="0" xfId="2" applyFont="1" applyFill="1" applyBorder="1" applyProtection="1"/>
    <xf numFmtId="176" fontId="39" fillId="7" borderId="0" xfId="2" applyNumberFormat="1" applyFont="1" applyFill="1"/>
    <xf numFmtId="43" fontId="42" fillId="2" borderId="0" xfId="2" applyNumberFormat="1" applyFont="1" applyFill="1" applyProtection="1"/>
    <xf numFmtId="10" fontId="32" fillId="2" borderId="0" xfId="4" applyNumberFormat="1" applyFont="1">
      <alignment horizontal="right"/>
    </xf>
    <xf numFmtId="0" fontId="43" fillId="2" borderId="0" xfId="2" applyFont="1" applyFill="1" applyBorder="1" applyProtection="1"/>
    <xf numFmtId="178" fontId="32" fillId="2" borderId="0" xfId="4" applyFont="1">
      <alignment horizontal="right"/>
    </xf>
    <xf numFmtId="0" fontId="32" fillId="2" borderId="0" xfId="2" applyFont="1" applyFill="1" applyBorder="1" applyAlignment="1">
      <alignment horizontal="left" vertical="center" wrapText="1"/>
    </xf>
    <xf numFmtId="182" fontId="32" fillId="4" borderId="7" xfId="3" applyNumberFormat="1" applyFont="1" applyFill="1" applyBorder="1">
      <alignment horizontal="right" vertical="center"/>
    </xf>
    <xf numFmtId="182" fontId="32" fillId="4" borderId="3" xfId="3" applyNumberFormat="1" applyFont="1" applyFill="1" applyBorder="1">
      <alignment horizontal="right" vertical="center"/>
    </xf>
    <xf numFmtId="0" fontId="21" fillId="2" borderId="5" xfId="2" applyFont="1" applyFill="1" applyBorder="1" applyAlignment="1">
      <alignment horizontal="left" vertical="center" wrapText="1"/>
    </xf>
    <xf numFmtId="176" fontId="21" fillId="2" borderId="5" xfId="3" applyFont="1" applyBorder="1">
      <alignment horizontal="right" vertical="center"/>
    </xf>
    <xf numFmtId="0" fontId="32" fillId="2" borderId="2" xfId="2" applyFont="1" applyFill="1" applyBorder="1" applyAlignment="1">
      <alignment horizontal="left" vertical="center" wrapText="1"/>
    </xf>
    <xf numFmtId="176" fontId="32" fillId="4" borderId="7" xfId="3" applyFont="1" applyFill="1" applyBorder="1">
      <alignment horizontal="right" vertical="center"/>
    </xf>
    <xf numFmtId="187" fontId="32" fillId="4" borderId="28" xfId="3" applyNumberFormat="1" applyFont="1" applyFill="1" applyBorder="1">
      <alignment horizontal="right" vertical="center"/>
    </xf>
    <xf numFmtId="188" fontId="32" fillId="4" borderId="28" xfId="3" applyNumberFormat="1" applyFont="1" applyFill="1" applyBorder="1">
      <alignment horizontal="right" vertical="center"/>
    </xf>
    <xf numFmtId="10" fontId="32" fillId="10" borderId="7" xfId="4" applyNumberFormat="1" applyFont="1" applyFill="1" applyBorder="1">
      <alignment horizontal="right"/>
    </xf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0" xfId="6" applyFont="1" applyAlignment="1">
      <alignment vertical="center"/>
    </xf>
    <xf numFmtId="14" fontId="23" fillId="0" borderId="0" xfId="6" applyNumberFormat="1" applyFont="1" applyAlignment="1">
      <alignment vertical="center"/>
    </xf>
    <xf numFmtId="14" fontId="23" fillId="0" borderId="0" xfId="6" applyNumberFormat="1" applyFont="1" applyFill="1" applyAlignment="1">
      <alignment vertical="center"/>
    </xf>
    <xf numFmtId="0" fontId="23" fillId="0" borderId="0" xfId="6" applyFont="1"/>
    <xf numFmtId="0" fontId="23" fillId="0" borderId="0" xfId="6" applyFont="1" applyFill="1" applyAlignment="1">
      <alignment vertical="center"/>
    </xf>
    <xf numFmtId="0" fontId="32" fillId="0" borderId="0" xfId="6" applyFont="1"/>
    <xf numFmtId="0" fontId="23" fillId="0" borderId="0" xfId="6" applyFont="1" applyAlignment="1">
      <alignment horizontal="right"/>
    </xf>
    <xf numFmtId="0" fontId="23" fillId="0" borderId="0" xfId="0" applyFont="1" applyAlignment="1"/>
    <xf numFmtId="0" fontId="23" fillId="0" borderId="0" xfId="0" applyFont="1" applyFill="1" applyAlignment="1"/>
    <xf numFmtId="194" fontId="23" fillId="0" borderId="0" xfId="0" applyNumberFormat="1" applyFont="1" applyAlignment="1"/>
    <xf numFmtId="194" fontId="23" fillId="0" borderId="0" xfId="0" applyNumberFormat="1" applyFont="1" applyFill="1" applyAlignment="1"/>
    <xf numFmtId="194" fontId="23" fillId="0" borderId="0" xfId="0" applyNumberFormat="1" applyFont="1" applyAlignment="1">
      <alignment vertical="center"/>
    </xf>
    <xf numFmtId="194" fontId="23" fillId="0" borderId="0" xfId="0" applyNumberFormat="1" applyFont="1" applyFill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6" applyFont="1" applyBorder="1" applyAlignment="1">
      <alignment vertical="center"/>
    </xf>
    <xf numFmtId="0" fontId="23" fillId="0" borderId="0" xfId="6" applyFont="1" applyFill="1" applyBorder="1" applyAlignment="1">
      <alignment horizontal="right" vertical="center"/>
    </xf>
    <xf numFmtId="0" fontId="23" fillId="0" borderId="0" xfId="7" applyFont="1" applyBorder="1" applyAlignment="1">
      <alignment horizontal="right" vertical="center" wrapText="1"/>
    </xf>
    <xf numFmtId="0" fontId="23" fillId="0" borderId="0" xfId="7" applyFont="1" applyFill="1" applyBorder="1" applyAlignment="1">
      <alignment horizontal="right" vertical="center" wrapText="1"/>
    </xf>
    <xf numFmtId="0" fontId="23" fillId="0" borderId="0" xfId="0" applyFont="1" applyFill="1" applyBorder="1" applyAlignment="1">
      <alignment vertical="center"/>
    </xf>
    <xf numFmtId="0" fontId="23" fillId="0" borderId="0" xfId="6" applyFont="1" applyFill="1" applyBorder="1" applyAlignment="1">
      <alignment vertical="center"/>
    </xf>
    <xf numFmtId="0" fontId="23" fillId="0" borderId="0" xfId="1" applyNumberFormat="1" applyFont="1" applyBorder="1">
      <alignment vertical="center"/>
    </xf>
    <xf numFmtId="0" fontId="23" fillId="0" borderId="0" xfId="0" applyFont="1" applyFill="1" applyBorder="1" applyAlignment="1">
      <alignment horizontal="right" vertical="center"/>
    </xf>
    <xf numFmtId="0" fontId="22" fillId="0" borderId="39" xfId="0" applyFont="1" applyBorder="1" applyAlignment="1">
      <alignment vertical="center"/>
    </xf>
    <xf numFmtId="14" fontId="22" fillId="0" borderId="40" xfId="0" applyNumberFormat="1" applyFont="1" applyBorder="1" applyAlignment="1">
      <alignment vertical="center"/>
    </xf>
    <xf numFmtId="0" fontId="22" fillId="0" borderId="41" xfId="0" applyFont="1" applyBorder="1" applyAlignment="1">
      <alignment horizontal="right" vertical="center"/>
    </xf>
    <xf numFmtId="0" fontId="22" fillId="0" borderId="40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2" fontId="44" fillId="0" borderId="0" xfId="0" applyNumberFormat="1" applyFont="1" applyBorder="1" applyAlignment="1">
      <alignment vertical="center"/>
    </xf>
    <xf numFmtId="0" fontId="44" fillId="0" borderId="43" xfId="0" applyFont="1" applyBorder="1" applyAlignment="1">
      <alignment vertical="center"/>
    </xf>
    <xf numFmtId="0" fontId="44" fillId="0" borderId="0" xfId="0" applyFont="1" applyBorder="1" applyAlignment="1">
      <alignment vertical="center"/>
    </xf>
    <xf numFmtId="188" fontId="44" fillId="0" borderId="0" xfId="0" applyNumberFormat="1" applyFont="1" applyBorder="1" applyAlignment="1">
      <alignment vertical="center"/>
    </xf>
    <xf numFmtId="188" fontId="44" fillId="0" borderId="43" xfId="0" applyNumberFormat="1" applyFont="1" applyBorder="1" applyAlignment="1">
      <alignment vertical="center"/>
    </xf>
    <xf numFmtId="0" fontId="22" fillId="0" borderId="42" xfId="0" applyFont="1" applyBorder="1" applyAlignment="1">
      <alignment vertical="center"/>
    </xf>
    <xf numFmtId="2" fontId="22" fillId="0" borderId="0" xfId="0" applyNumberFormat="1" applyFont="1" applyBorder="1" applyAlignment="1">
      <alignment vertical="center"/>
    </xf>
    <xf numFmtId="2" fontId="22" fillId="0" borderId="0" xfId="0" applyNumberFormat="1" applyFont="1" applyBorder="1" applyAlignment="1">
      <alignment horizontal="right" vertical="center"/>
    </xf>
    <xf numFmtId="0" fontId="22" fillId="0" borderId="43" xfId="0" applyFont="1" applyBorder="1" applyAlignment="1">
      <alignment vertical="center"/>
    </xf>
    <xf numFmtId="188" fontId="22" fillId="0" borderId="0" xfId="0" applyNumberFormat="1" applyFont="1" applyBorder="1" applyAlignment="1">
      <alignment vertical="center"/>
    </xf>
    <xf numFmtId="188" fontId="22" fillId="0" borderId="43" xfId="0" applyNumberFormat="1" applyFont="1" applyBorder="1" applyAlignment="1">
      <alignment vertical="center"/>
    </xf>
    <xf numFmtId="195" fontId="22" fillId="0" borderId="43" xfId="0" applyNumberFormat="1" applyFont="1" applyBorder="1" applyAlignment="1">
      <alignment vertical="center"/>
    </xf>
    <xf numFmtId="0" fontId="44" fillId="0" borderId="44" xfId="0" applyFont="1" applyBorder="1" applyAlignment="1">
      <alignment vertical="center"/>
    </xf>
    <xf numFmtId="2" fontId="44" fillId="0" borderId="2" xfId="0" applyNumberFormat="1" applyFont="1" applyBorder="1" applyAlignment="1">
      <alignment vertical="center"/>
    </xf>
    <xf numFmtId="0" fontId="44" fillId="0" borderId="2" xfId="0" applyFont="1" applyBorder="1" applyAlignment="1">
      <alignment vertical="center"/>
    </xf>
    <xf numFmtId="195" fontId="44" fillId="0" borderId="45" xfId="0" applyNumberFormat="1" applyFont="1" applyBorder="1" applyAlignment="1">
      <alignment vertical="center"/>
    </xf>
    <xf numFmtId="188" fontId="44" fillId="0" borderId="2" xfId="0" applyNumberFormat="1" applyFont="1" applyBorder="1" applyAlignment="1">
      <alignment vertical="center"/>
    </xf>
    <xf numFmtId="188" fontId="44" fillId="0" borderId="45" xfId="0" applyNumberFormat="1" applyFont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46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47" xfId="0" applyFont="1" applyBorder="1" applyAlignment="1">
      <alignment vertical="center"/>
    </xf>
    <xf numFmtId="0" fontId="22" fillId="0" borderId="13" xfId="0" applyFont="1" applyFill="1" applyBorder="1" applyAlignment="1">
      <alignment vertical="center"/>
    </xf>
    <xf numFmtId="0" fontId="22" fillId="0" borderId="47" xfId="0" applyFont="1" applyFill="1" applyBorder="1" applyAlignment="1">
      <alignment vertical="center"/>
    </xf>
    <xf numFmtId="188" fontId="22" fillId="0" borderId="0" xfId="0" applyNumberFormat="1" applyFont="1" applyFill="1" applyBorder="1" applyAlignment="1">
      <alignment vertical="center"/>
    </xf>
    <xf numFmtId="0" fontId="20" fillId="0" borderId="44" xfId="0" applyFont="1" applyBorder="1" applyAlignment="1">
      <alignment vertical="center"/>
    </xf>
    <xf numFmtId="14" fontId="22" fillId="0" borderId="2" xfId="0" applyNumberFormat="1" applyFont="1" applyBorder="1" applyAlignment="1">
      <alignment vertical="center"/>
    </xf>
    <xf numFmtId="0" fontId="22" fillId="0" borderId="45" xfId="0" applyFont="1" applyBorder="1" applyAlignment="1">
      <alignment horizontal="right" vertical="center"/>
    </xf>
    <xf numFmtId="195" fontId="22" fillId="0" borderId="0" xfId="0" applyNumberFormat="1" applyFont="1" applyAlignment="1">
      <alignment vertical="center"/>
    </xf>
    <xf numFmtId="0" fontId="20" fillId="0" borderId="42" xfId="0" applyFont="1" applyBorder="1" applyAlignment="1">
      <alignment vertical="center"/>
    </xf>
    <xf numFmtId="195" fontId="22" fillId="0" borderId="0" xfId="0" applyNumberFormat="1" applyFont="1" applyBorder="1" applyAlignment="1">
      <alignment vertical="center"/>
    </xf>
    <xf numFmtId="196" fontId="22" fillId="0" borderId="0" xfId="0" applyNumberFormat="1" applyFont="1" applyBorder="1" applyAlignment="1">
      <alignment vertical="center"/>
    </xf>
    <xf numFmtId="0" fontId="20" fillId="0" borderId="0" xfId="0" applyFont="1" applyBorder="1" applyAlignment="1"/>
    <xf numFmtId="0" fontId="20" fillId="0" borderId="42" xfId="0" applyFont="1" applyFill="1" applyBorder="1" applyAlignment="1">
      <alignment vertical="center"/>
    </xf>
    <xf numFmtId="0" fontId="20" fillId="0" borderId="46" xfId="0" applyFont="1" applyFill="1" applyBorder="1" applyAlignment="1">
      <alignment vertical="center"/>
    </xf>
    <xf numFmtId="195" fontId="22" fillId="0" borderId="47" xfId="0" applyNumberFormat="1" applyFont="1" applyBorder="1" applyAlignment="1">
      <alignment vertical="center"/>
    </xf>
    <xf numFmtId="0" fontId="32" fillId="2" borderId="48" xfId="2" applyFont="1" applyFill="1" applyBorder="1"/>
    <xf numFmtId="0" fontId="20" fillId="11" borderId="0" xfId="0" applyFont="1" applyFill="1" applyBorder="1"/>
    <xf numFmtId="0" fontId="20" fillId="11" borderId="0" xfId="0" applyFont="1" applyFill="1"/>
    <xf numFmtId="0" fontId="0" fillId="11" borderId="0" xfId="0" applyFill="1"/>
    <xf numFmtId="0" fontId="20" fillId="0" borderId="0" xfId="0" applyFont="1" applyFill="1"/>
    <xf numFmtId="0" fontId="45" fillId="0" borderId="0" xfId="0" applyFont="1"/>
    <xf numFmtId="0" fontId="35" fillId="0" borderId="0" xfId="6" applyFont="1" applyAlignment="1">
      <alignment vertical="center"/>
    </xf>
    <xf numFmtId="0" fontId="35" fillId="0" borderId="0" xfId="6" applyFont="1" applyAlignment="1">
      <alignment horizontal="right"/>
    </xf>
    <xf numFmtId="0" fontId="35" fillId="0" borderId="0" xfId="0" applyFont="1" applyAlignment="1">
      <alignment vertical="center"/>
    </xf>
    <xf numFmtId="0" fontId="31" fillId="2" borderId="0" xfId="2" applyFont="1" applyFill="1" applyAlignment="1">
      <alignment horizontal="left"/>
    </xf>
    <xf numFmtId="0" fontId="31" fillId="2" borderId="0" xfId="2" applyFont="1" applyFill="1"/>
    <xf numFmtId="0" fontId="23" fillId="0" borderId="0" xfId="1" applyNumberFormat="1" applyFont="1" applyBorder="1" applyAlignment="1">
      <alignment horizontal="right" vertical="center"/>
    </xf>
    <xf numFmtId="0" fontId="2" fillId="2" borderId="48" xfId="2" applyFill="1" applyBorder="1"/>
    <xf numFmtId="0" fontId="29" fillId="0" borderId="39" xfId="0" applyFont="1" applyFill="1" applyBorder="1" applyAlignment="1">
      <alignment vertical="center"/>
    </xf>
    <xf numFmtId="14" fontId="29" fillId="0" borderId="40" xfId="0" applyNumberFormat="1" applyFont="1" applyFill="1" applyBorder="1" applyAlignment="1">
      <alignment vertical="center"/>
    </xf>
    <xf numFmtId="0" fontId="29" fillId="0" borderId="41" xfId="0" applyFont="1" applyFill="1" applyBorder="1" applyAlignment="1">
      <alignment horizontal="right" vertical="center"/>
    </xf>
    <xf numFmtId="0" fontId="29" fillId="0" borderId="40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88" fontId="47" fillId="0" borderId="0" xfId="0" applyNumberFormat="1" applyFont="1" applyFill="1" applyBorder="1" applyAlignment="1">
      <alignment vertical="center"/>
    </xf>
    <xf numFmtId="0" fontId="29" fillId="0" borderId="42" xfId="0" applyFont="1" applyFill="1" applyBorder="1" applyAlignment="1">
      <alignment vertical="center"/>
    </xf>
    <xf numFmtId="188" fontId="29" fillId="0" borderId="0" xfId="0" applyNumberFormat="1" applyFont="1" applyFill="1" applyBorder="1" applyAlignment="1">
      <alignment vertical="center"/>
    </xf>
    <xf numFmtId="0" fontId="29" fillId="0" borderId="43" xfId="0" applyFont="1" applyFill="1" applyBorder="1" applyAlignment="1">
      <alignment vertical="center"/>
    </xf>
    <xf numFmtId="0" fontId="29" fillId="0" borderId="0" xfId="0" applyFont="1" applyFill="1" applyBorder="1" applyAlignment="1">
      <alignment horizontal="left" vertical="center"/>
    </xf>
    <xf numFmtId="195" fontId="29" fillId="0" borderId="43" xfId="0" applyNumberFormat="1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29" fillId="0" borderId="46" xfId="0" applyFont="1" applyFill="1" applyBorder="1" applyAlignment="1">
      <alignment vertical="center"/>
    </xf>
    <xf numFmtId="0" fontId="29" fillId="0" borderId="13" xfId="0" applyFont="1" applyFill="1" applyBorder="1" applyAlignment="1">
      <alignment vertical="center"/>
    </xf>
    <xf numFmtId="0" fontId="29" fillId="0" borderId="47" xfId="0" applyFont="1" applyFill="1" applyBorder="1" applyAlignment="1">
      <alignment vertical="center"/>
    </xf>
    <xf numFmtId="188" fontId="47" fillId="0" borderId="2" xfId="0" applyNumberFormat="1" applyFont="1" applyFill="1" applyBorder="1" applyAlignment="1">
      <alignment vertical="center"/>
    </xf>
    <xf numFmtId="188" fontId="47" fillId="0" borderId="45" xfId="0" applyNumberFormat="1" applyFont="1" applyFill="1" applyBorder="1" applyAlignment="1">
      <alignment vertical="center"/>
    </xf>
    <xf numFmtId="0" fontId="47" fillId="0" borderId="2" xfId="0" applyFont="1" applyFill="1" applyBorder="1" applyAlignment="1">
      <alignment vertical="center"/>
    </xf>
    <xf numFmtId="3" fontId="29" fillId="0" borderId="0" xfId="0" applyNumberFormat="1" applyFont="1" applyFill="1" applyBorder="1" applyAlignment="1">
      <alignment vertical="center"/>
    </xf>
    <xf numFmtId="188" fontId="29" fillId="0" borderId="13" xfId="0" applyNumberFormat="1" applyFont="1" applyFill="1" applyBorder="1" applyAlignment="1">
      <alignment vertical="center"/>
    </xf>
    <xf numFmtId="0" fontId="29" fillId="0" borderId="44" xfId="0" applyFont="1" applyFill="1" applyBorder="1" applyAlignment="1">
      <alignment vertical="center"/>
    </xf>
    <xf numFmtId="14" fontId="29" fillId="0" borderId="2" xfId="0" applyNumberFormat="1" applyFont="1" applyFill="1" applyBorder="1" applyAlignment="1">
      <alignment vertical="center"/>
    </xf>
    <xf numFmtId="0" fontId="29" fillId="0" borderId="45" xfId="0" applyFont="1" applyFill="1" applyBorder="1" applyAlignment="1">
      <alignment horizontal="right" vertical="center"/>
    </xf>
    <xf numFmtId="195" fontId="29" fillId="0" borderId="0" xfId="0" applyNumberFormat="1" applyFont="1" applyFill="1" applyBorder="1" applyAlignment="1">
      <alignment vertical="center"/>
    </xf>
    <xf numFmtId="2" fontId="29" fillId="0" borderId="0" xfId="0" applyNumberFormat="1" applyFont="1" applyFill="1" applyBorder="1" applyAlignment="1">
      <alignment vertical="center"/>
    </xf>
    <xf numFmtId="195" fontId="29" fillId="0" borderId="47" xfId="0" applyNumberFormat="1" applyFont="1" applyFill="1" applyBorder="1" applyAlignment="1">
      <alignment vertical="center"/>
    </xf>
    <xf numFmtId="0" fontId="29" fillId="0" borderId="0" xfId="0" applyFont="1" applyFill="1" applyBorder="1" applyAlignment="1">
      <alignment horizontal="right" vertical="center"/>
    </xf>
    <xf numFmtId="0" fontId="24" fillId="0" borderId="0" xfId="6" applyFont="1" applyAlignment="1">
      <alignment vertical="center"/>
    </xf>
    <xf numFmtId="0" fontId="24" fillId="0" borderId="0" xfId="6" applyFont="1"/>
    <xf numFmtId="14" fontId="24" fillId="0" borderId="0" xfId="6" applyNumberFormat="1" applyFont="1" applyAlignment="1">
      <alignment vertical="center"/>
    </xf>
    <xf numFmtId="0" fontId="24" fillId="0" borderId="0" xfId="0" applyFont="1" applyAlignment="1">
      <alignment vertical="center"/>
    </xf>
    <xf numFmtId="194" fontId="24" fillId="0" borderId="0" xfId="0" applyNumberFormat="1" applyFont="1" applyAlignment="1"/>
    <xf numFmtId="0" fontId="29" fillId="0" borderId="36" xfId="0" applyFont="1" applyFill="1" applyBorder="1" applyAlignment="1">
      <alignment vertical="center"/>
    </xf>
    <xf numFmtId="0" fontId="29" fillId="0" borderId="15" xfId="6" applyFont="1" applyFill="1" applyBorder="1" applyAlignment="1">
      <alignment vertical="center"/>
    </xf>
    <xf numFmtId="0" fontId="29" fillId="0" borderId="15" xfId="6" applyFont="1" applyFill="1" applyBorder="1" applyAlignment="1">
      <alignment horizontal="right" vertical="center"/>
    </xf>
    <xf numFmtId="0" fontId="29" fillId="0" borderId="38" xfId="6" applyFont="1" applyFill="1" applyBorder="1" applyAlignment="1">
      <alignment vertical="center"/>
    </xf>
    <xf numFmtId="0" fontId="29" fillId="0" borderId="38" xfId="6" applyFont="1" applyFill="1" applyBorder="1" applyAlignment="1">
      <alignment horizontal="right" vertical="center"/>
    </xf>
    <xf numFmtId="0" fontId="29" fillId="0" borderId="33" xfId="7" applyFont="1" applyFill="1" applyBorder="1" applyAlignment="1">
      <alignment vertical="center" wrapText="1"/>
    </xf>
    <xf numFmtId="0" fontId="29" fillId="0" borderId="0" xfId="7" applyFont="1" applyFill="1" applyBorder="1" applyAlignment="1">
      <alignment vertical="center" wrapText="1"/>
    </xf>
    <xf numFmtId="0" fontId="29" fillId="0" borderId="31" xfId="7" applyFont="1" applyFill="1" applyBorder="1" applyAlignment="1">
      <alignment vertical="center" wrapText="1"/>
    </xf>
    <xf numFmtId="0" fontId="29" fillId="0" borderId="33" xfId="0" applyFont="1" applyFill="1" applyBorder="1" applyAlignment="1">
      <alignment vertical="center"/>
    </xf>
    <xf numFmtId="0" fontId="29" fillId="0" borderId="29" xfId="0" applyFont="1" applyFill="1" applyBorder="1" applyAlignment="1">
      <alignment vertical="center"/>
    </xf>
    <xf numFmtId="0" fontId="29" fillId="0" borderId="34" xfId="7" applyFont="1" applyFill="1" applyBorder="1" applyAlignment="1">
      <alignment vertical="center"/>
    </xf>
    <xf numFmtId="0" fontId="29" fillId="0" borderId="1" xfId="0" applyFont="1" applyFill="1" applyBorder="1" applyAlignment="1">
      <alignment vertical="center"/>
    </xf>
    <xf numFmtId="0" fontId="29" fillId="0" borderId="30" xfId="0" applyFont="1" applyFill="1" applyBorder="1" applyAlignment="1">
      <alignment vertical="center"/>
    </xf>
    <xf numFmtId="0" fontId="29" fillId="0" borderId="32" xfId="6" applyFont="1" applyFill="1" applyBorder="1" applyAlignment="1">
      <alignment vertical="center"/>
    </xf>
    <xf numFmtId="0" fontId="29" fillId="0" borderId="10" xfId="6" applyFont="1" applyFill="1" applyBorder="1" applyAlignment="1">
      <alignment vertical="center"/>
    </xf>
    <xf numFmtId="0" fontId="29" fillId="0" borderId="10" xfId="6" applyFont="1" applyFill="1" applyBorder="1" applyAlignment="1">
      <alignment horizontal="right" vertical="center"/>
    </xf>
    <xf numFmtId="0" fontId="29" fillId="12" borderId="0" xfId="0" applyFont="1" applyFill="1" applyBorder="1" applyAlignment="1">
      <alignment vertical="center"/>
    </xf>
    <xf numFmtId="194" fontId="29" fillId="0" borderId="37" xfId="6" applyNumberFormat="1" applyFont="1" applyFill="1" applyBorder="1" applyAlignment="1">
      <alignment vertical="center"/>
    </xf>
    <xf numFmtId="194" fontId="29" fillId="0" borderId="15" xfId="6" applyNumberFormat="1" applyFont="1" applyFill="1" applyBorder="1" applyAlignment="1">
      <alignment vertical="center"/>
    </xf>
    <xf numFmtId="194" fontId="29" fillId="0" borderId="38" xfId="6" applyNumberFormat="1" applyFont="1" applyFill="1" applyBorder="1" applyAlignment="1">
      <alignment vertical="center"/>
    </xf>
    <xf numFmtId="10" fontId="29" fillId="0" borderId="35" xfId="1" applyNumberFormat="1" applyFont="1" applyFill="1" applyBorder="1">
      <alignment vertical="center"/>
    </xf>
    <xf numFmtId="10" fontId="29" fillId="0" borderId="1" xfId="1" applyNumberFormat="1" applyFont="1" applyFill="1" applyBorder="1">
      <alignment vertical="center"/>
    </xf>
    <xf numFmtId="10" fontId="29" fillId="0" borderId="30" xfId="1" applyNumberFormat="1" applyFont="1" applyFill="1" applyBorder="1">
      <alignment vertical="center"/>
    </xf>
    <xf numFmtId="14" fontId="29" fillId="0" borderId="0" xfId="6" applyNumberFormat="1" applyFont="1" applyFill="1" applyBorder="1" applyAlignment="1">
      <alignment vertical="center"/>
    </xf>
    <xf numFmtId="0" fontId="29" fillId="0" borderId="0" xfId="6" applyFont="1" applyFill="1" applyBorder="1" applyAlignment="1">
      <alignment vertical="center"/>
    </xf>
    <xf numFmtId="194" fontId="29" fillId="0" borderId="0" xfId="0" applyNumberFormat="1" applyFont="1" applyFill="1" applyBorder="1" applyAlignment="1"/>
    <xf numFmtId="177" fontId="32" fillId="4" borderId="3" xfId="3" applyNumberFormat="1" applyFont="1" applyFill="1" applyBorder="1">
      <alignment horizontal="right" vertical="center"/>
    </xf>
    <xf numFmtId="177" fontId="32" fillId="0" borderId="4" xfId="3" applyNumberFormat="1" applyFont="1" applyFill="1" applyBorder="1">
      <alignment horizontal="right" vertical="center"/>
    </xf>
    <xf numFmtId="177" fontId="21" fillId="4" borderId="6" xfId="3" applyNumberFormat="1" applyFont="1" applyFill="1" applyBorder="1">
      <alignment horizontal="right" vertical="center"/>
    </xf>
    <xf numFmtId="179" fontId="32" fillId="2" borderId="0" xfId="4" applyNumberFormat="1" applyFont="1">
      <alignment horizontal="right"/>
    </xf>
    <xf numFmtId="177" fontId="32" fillId="4" borderId="7" xfId="3" applyNumberFormat="1" applyFont="1" applyFill="1" applyBorder="1">
      <alignment horizontal="right" vertical="center"/>
    </xf>
    <xf numFmtId="186" fontId="32" fillId="4" borderId="4" xfId="3" applyNumberFormat="1" applyFont="1" applyFill="1" applyBorder="1">
      <alignment horizontal="right" vertical="center"/>
    </xf>
    <xf numFmtId="177" fontId="32" fillId="4" borderId="4" xfId="3" applyNumberFormat="1" applyFont="1" applyFill="1" applyBorder="1">
      <alignment horizontal="right" vertical="center"/>
    </xf>
    <xf numFmtId="180" fontId="32" fillId="4" borderId="11" xfId="3" applyNumberFormat="1" applyFont="1" applyFill="1" applyBorder="1">
      <alignment horizontal="right" vertical="center"/>
    </xf>
    <xf numFmtId="176" fontId="21" fillId="2" borderId="0" xfId="2" applyNumberFormat="1" applyFont="1" applyFill="1"/>
    <xf numFmtId="176" fontId="21" fillId="2" borderId="13" xfId="2" applyNumberFormat="1" applyFont="1" applyFill="1" applyBorder="1"/>
    <xf numFmtId="176" fontId="21" fillId="2" borderId="14" xfId="2" applyNumberFormat="1" applyFont="1" applyFill="1" applyBorder="1"/>
    <xf numFmtId="181" fontId="32" fillId="4" borderId="9" xfId="3" applyNumberFormat="1" applyFont="1" applyFill="1" applyBorder="1">
      <alignment horizontal="right" vertical="center"/>
    </xf>
    <xf numFmtId="176" fontId="32" fillId="2" borderId="15" xfId="2" applyNumberFormat="1" applyFont="1" applyFill="1" applyBorder="1"/>
    <xf numFmtId="182" fontId="32" fillId="4" borderId="12" xfId="3" applyNumberFormat="1" applyFont="1" applyFill="1" applyBorder="1">
      <alignment horizontal="right" vertical="center"/>
    </xf>
    <xf numFmtId="181" fontId="32" fillId="4" borderId="8" xfId="3" applyNumberFormat="1" applyFont="1" applyFill="1" applyBorder="1">
      <alignment horizontal="right" vertical="center"/>
    </xf>
    <xf numFmtId="181" fontId="32" fillId="4" borderId="3" xfId="3" applyNumberFormat="1" applyFont="1" applyFill="1" applyBorder="1">
      <alignment horizontal="right" vertical="center"/>
    </xf>
    <xf numFmtId="176" fontId="32" fillId="2" borderId="0" xfId="3" applyFont="1" applyBorder="1">
      <alignment horizontal="right" vertical="center"/>
    </xf>
    <xf numFmtId="176" fontId="32" fillId="4" borderId="9" xfId="3" applyFont="1" applyFill="1" applyBorder="1">
      <alignment horizontal="right" vertical="center"/>
    </xf>
    <xf numFmtId="176" fontId="21" fillId="2" borderId="15" xfId="2" applyNumberFormat="1" applyFont="1" applyFill="1" applyBorder="1"/>
    <xf numFmtId="181" fontId="32" fillId="4" borderId="17" xfId="3" applyNumberFormat="1" applyFont="1" applyFill="1" applyBorder="1">
      <alignment horizontal="right" vertical="center"/>
    </xf>
    <xf numFmtId="182" fontId="32" fillId="4" borderId="8" xfId="3" applyNumberFormat="1" applyFont="1" applyFill="1" applyBorder="1">
      <alignment horizontal="right" vertical="center"/>
    </xf>
    <xf numFmtId="176" fontId="32" fillId="4" borderId="18" xfId="3" applyFont="1" applyFill="1" applyBorder="1">
      <alignment horizontal="right" vertical="center"/>
    </xf>
    <xf numFmtId="176" fontId="32" fillId="4" borderId="19" xfId="3" applyFont="1" applyFill="1" applyBorder="1">
      <alignment horizontal="right" vertical="center"/>
    </xf>
    <xf numFmtId="182" fontId="32" fillId="4" borderId="11" xfId="3" applyNumberFormat="1" applyFont="1" applyFill="1" applyBorder="1">
      <alignment horizontal="right" vertical="center"/>
    </xf>
    <xf numFmtId="182" fontId="32" fillId="4" borderId="20" xfId="3" applyNumberFormat="1" applyFont="1" applyFill="1" applyBorder="1">
      <alignment horizontal="right" vertical="center"/>
    </xf>
    <xf numFmtId="183" fontId="32" fillId="4" borderId="3" xfId="3" applyNumberFormat="1" applyFont="1" applyFill="1" applyBorder="1">
      <alignment horizontal="right" vertical="center"/>
    </xf>
    <xf numFmtId="183" fontId="32" fillId="4" borderId="16" xfId="3" applyNumberFormat="1" applyFont="1" applyFill="1" applyBorder="1">
      <alignment horizontal="right" vertical="center"/>
    </xf>
    <xf numFmtId="180" fontId="32" fillId="2" borderId="2" xfId="2" applyNumberFormat="1" applyFont="1" applyFill="1" applyBorder="1"/>
    <xf numFmtId="180" fontId="21" fillId="2" borderId="10" xfId="3" applyNumberFormat="1" applyFont="1" applyBorder="1">
      <alignment horizontal="right" vertical="center"/>
    </xf>
    <xf numFmtId="180" fontId="21" fillId="2" borderId="13" xfId="2" applyNumberFormat="1" applyFont="1" applyFill="1" applyBorder="1"/>
    <xf numFmtId="180" fontId="32" fillId="8" borderId="21" xfId="3" applyNumberFormat="1" applyFont="1" applyFill="1" applyBorder="1">
      <alignment horizontal="right" vertical="center"/>
    </xf>
    <xf numFmtId="180" fontId="21" fillId="4" borderId="22" xfId="3" applyNumberFormat="1" applyFont="1" applyFill="1" applyBorder="1">
      <alignment horizontal="right" vertical="center"/>
    </xf>
    <xf numFmtId="180" fontId="21" fillId="4" borderId="23" xfId="3" applyNumberFormat="1" applyFont="1" applyFill="1" applyBorder="1">
      <alignment horizontal="right" vertical="center"/>
    </xf>
    <xf numFmtId="176" fontId="21" fillId="4" borderId="11" xfId="3" applyFont="1" applyFill="1" applyBorder="1">
      <alignment horizontal="right" vertical="center"/>
    </xf>
    <xf numFmtId="176" fontId="32" fillId="4" borderId="12" xfId="3" applyFont="1" applyFill="1" applyBorder="1">
      <alignment horizontal="right" vertical="center"/>
    </xf>
    <xf numFmtId="176" fontId="21" fillId="4" borderId="17" xfId="3" applyFont="1" applyFill="1" applyBorder="1">
      <alignment horizontal="right" vertical="center"/>
    </xf>
    <xf numFmtId="176" fontId="21" fillId="4" borderId="6" xfId="3" applyFont="1" applyFill="1" applyBorder="1">
      <alignment horizontal="right" vertical="center"/>
    </xf>
    <xf numFmtId="176" fontId="21" fillId="4" borderId="23" xfId="3" applyFont="1" applyFill="1" applyBorder="1">
      <alignment horizontal="right" vertical="center"/>
    </xf>
    <xf numFmtId="180" fontId="32" fillId="0" borderId="24" xfId="3" applyNumberFormat="1" applyFont="1" applyFill="1" applyBorder="1">
      <alignment horizontal="right" vertical="center"/>
    </xf>
    <xf numFmtId="176" fontId="21" fillId="4" borderId="9" xfId="3" applyFont="1" applyFill="1" applyBorder="1">
      <alignment horizontal="right" vertical="center"/>
    </xf>
    <xf numFmtId="44" fontId="32" fillId="2" borderId="0" xfId="2" applyNumberFormat="1" applyFont="1" applyFill="1"/>
    <xf numFmtId="176" fontId="21" fillId="0" borderId="25" xfId="2" applyNumberFormat="1" applyFont="1" applyFill="1" applyBorder="1"/>
    <xf numFmtId="176" fontId="21" fillId="0" borderId="15" xfId="2" applyNumberFormat="1" applyFont="1" applyFill="1" applyBorder="1"/>
    <xf numFmtId="176" fontId="32" fillId="10" borderId="11" xfId="2" applyNumberFormat="1" applyFont="1" applyFill="1" applyBorder="1"/>
    <xf numFmtId="182" fontId="32" fillId="10" borderId="11" xfId="2" applyNumberFormat="1" applyFont="1" applyFill="1" applyBorder="1"/>
    <xf numFmtId="176" fontId="21" fillId="10" borderId="23" xfId="2" applyNumberFormat="1" applyFont="1" applyFill="1" applyBorder="1"/>
    <xf numFmtId="176" fontId="32" fillId="0" borderId="10" xfId="3" applyNumberFormat="1" applyFont="1" applyFill="1" applyBorder="1">
      <alignment horizontal="right" vertical="center"/>
    </xf>
    <xf numFmtId="176" fontId="32" fillId="0" borderId="10" xfId="3" applyFont="1" applyFill="1" applyBorder="1">
      <alignment horizontal="right" vertical="center"/>
    </xf>
    <xf numFmtId="176" fontId="32" fillId="0" borderId="0" xfId="2" applyNumberFormat="1" applyFont="1" applyFill="1"/>
    <xf numFmtId="176" fontId="32" fillId="0" borderId="3" xfId="3" applyFont="1" applyFill="1" applyBorder="1">
      <alignment horizontal="right" vertical="center"/>
    </xf>
    <xf numFmtId="176" fontId="21" fillId="10" borderId="23" xfId="3" applyFont="1" applyFill="1" applyBorder="1">
      <alignment horizontal="right" vertical="center"/>
    </xf>
    <xf numFmtId="176" fontId="32" fillId="4" borderId="6" xfId="3" applyFont="1" applyFill="1" applyBorder="1">
      <alignment horizontal="right" vertical="center"/>
    </xf>
    <xf numFmtId="184" fontId="21" fillId="4" borderId="26" xfId="5" applyFont="1" applyFill="1" applyBorder="1">
      <alignment horizontal="right" vertical="center"/>
    </xf>
    <xf numFmtId="183" fontId="32" fillId="0" borderId="0" xfId="2" applyNumberFormat="1" applyFont="1" applyFill="1"/>
    <xf numFmtId="0" fontId="49" fillId="0" borderId="39" xfId="0" applyFont="1" applyFill="1" applyBorder="1" applyAlignment="1">
      <alignment vertical="center"/>
    </xf>
    <xf numFmtId="14" fontId="49" fillId="0" borderId="40" xfId="0" applyNumberFormat="1" applyFont="1" applyFill="1" applyBorder="1" applyAlignment="1">
      <alignment vertical="center"/>
    </xf>
    <xf numFmtId="0" fontId="49" fillId="0" borderId="41" xfId="0" applyFont="1" applyFill="1" applyBorder="1" applyAlignment="1">
      <alignment horizontal="right" vertical="center"/>
    </xf>
    <xf numFmtId="0" fontId="49" fillId="0" borderId="40" xfId="0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188" fontId="51" fillId="0" borderId="43" xfId="0" applyNumberFormat="1" applyFont="1" applyFill="1" applyBorder="1" applyAlignment="1">
      <alignment vertical="center"/>
    </xf>
    <xf numFmtId="0" fontId="49" fillId="0" borderId="42" xfId="0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horizontal="right" vertical="center"/>
    </xf>
    <xf numFmtId="0" fontId="49" fillId="0" borderId="43" xfId="0" applyFont="1" applyFill="1" applyBorder="1" applyAlignment="1">
      <alignment vertical="center"/>
    </xf>
    <xf numFmtId="0" fontId="49" fillId="0" borderId="0" xfId="0" applyFont="1" applyFill="1" applyBorder="1" applyAlignment="1">
      <alignment vertical="center"/>
    </xf>
    <xf numFmtId="188" fontId="49" fillId="0" borderId="0" xfId="0" applyNumberFormat="1" applyFont="1" applyFill="1" applyBorder="1" applyAlignment="1">
      <alignment vertical="center"/>
    </xf>
    <xf numFmtId="188" fontId="49" fillId="0" borderId="43" xfId="0" applyNumberFormat="1" applyFont="1" applyFill="1" applyBorder="1" applyAlignment="1">
      <alignment vertical="center"/>
    </xf>
    <xf numFmtId="195" fontId="49" fillId="0" borderId="4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2" fontId="51" fillId="0" borderId="2" xfId="0" applyNumberFormat="1" applyFont="1" applyFill="1" applyBorder="1" applyAlignment="1">
      <alignment vertical="center"/>
    </xf>
    <xf numFmtId="0" fontId="51" fillId="0" borderId="2" xfId="0" applyFont="1" applyFill="1" applyBorder="1" applyAlignment="1">
      <alignment vertical="center"/>
    </xf>
    <xf numFmtId="195" fontId="51" fillId="0" borderId="45" xfId="0" applyNumberFormat="1" applyFont="1" applyFill="1" applyBorder="1" applyAlignment="1">
      <alignment vertical="center"/>
    </xf>
    <xf numFmtId="188" fontId="51" fillId="0" borderId="2" xfId="0" applyNumberFormat="1" applyFont="1" applyFill="1" applyBorder="1" applyAlignment="1">
      <alignment vertical="center"/>
    </xf>
    <xf numFmtId="188" fontId="51" fillId="0" borderId="45" xfId="0" applyNumberFormat="1" applyFont="1" applyFill="1" applyBorder="1" applyAlignment="1">
      <alignment vertical="center"/>
    </xf>
    <xf numFmtId="0" fontId="49" fillId="0" borderId="46" xfId="0" applyFont="1" applyFill="1" applyBorder="1" applyAlignment="1">
      <alignment vertical="center"/>
    </xf>
    <xf numFmtId="0" fontId="49" fillId="0" borderId="13" xfId="0" applyFont="1" applyFill="1" applyBorder="1" applyAlignment="1">
      <alignment vertical="center"/>
    </xf>
    <xf numFmtId="0" fontId="49" fillId="0" borderId="47" xfId="0" applyFont="1" applyFill="1" applyBorder="1" applyAlignment="1">
      <alignment vertical="center"/>
    </xf>
    <xf numFmtId="0" fontId="50" fillId="0" borderId="44" xfId="0" applyFont="1" applyFill="1" applyBorder="1" applyAlignment="1">
      <alignment vertical="center"/>
    </xf>
    <xf numFmtId="14" fontId="49" fillId="0" borderId="2" xfId="0" applyNumberFormat="1" applyFont="1" applyFill="1" applyBorder="1" applyAlignment="1">
      <alignment vertical="center"/>
    </xf>
    <xf numFmtId="0" fontId="49" fillId="0" borderId="45" xfId="0" applyFont="1" applyFill="1" applyBorder="1" applyAlignment="1">
      <alignment horizontal="right" vertical="center"/>
    </xf>
    <xf numFmtId="195" fontId="49" fillId="0" borderId="0" xfId="0" applyNumberFormat="1" applyFont="1" applyFill="1" applyBorder="1" applyAlignment="1">
      <alignment vertical="center"/>
    </xf>
    <xf numFmtId="0" fontId="50" fillId="0" borderId="42" xfId="0" applyFont="1" applyFill="1" applyBorder="1" applyAlignment="1">
      <alignment vertical="center"/>
    </xf>
    <xf numFmtId="196" fontId="49" fillId="0" borderId="0" xfId="0" applyNumberFormat="1" applyFont="1" applyFill="1" applyBorder="1" applyAlignment="1">
      <alignment vertical="center"/>
    </xf>
    <xf numFmtId="0" fontId="50" fillId="0" borderId="0" xfId="0" applyFont="1" applyFill="1" applyBorder="1" applyAlignment="1"/>
    <xf numFmtId="0" fontId="50" fillId="0" borderId="46" xfId="0" applyFont="1" applyFill="1" applyBorder="1" applyAlignment="1">
      <alignment vertical="center"/>
    </xf>
    <xf numFmtId="195" fontId="49" fillId="0" borderId="47" xfId="0" applyNumberFormat="1" applyFont="1" applyFill="1" applyBorder="1" applyAlignment="1">
      <alignment vertical="center"/>
    </xf>
    <xf numFmtId="2" fontId="24" fillId="0" borderId="0" xfId="6" applyNumberFormat="1" applyFont="1" applyAlignment="1">
      <alignment vertical="center"/>
    </xf>
    <xf numFmtId="0" fontId="52" fillId="0" borderId="0" xfId="6" applyFont="1"/>
    <xf numFmtId="2" fontId="24" fillId="0" borderId="0" xfId="0" applyNumberFormat="1" applyFont="1" applyAlignment="1">
      <alignment vertical="center"/>
    </xf>
    <xf numFmtId="2" fontId="24" fillId="0" borderId="0" xfId="0" applyNumberFormat="1" applyFont="1" applyAlignment="1"/>
    <xf numFmtId="0" fontId="29" fillId="0" borderId="36" xfId="6" applyFont="1" applyFill="1" applyBorder="1" applyAlignment="1">
      <alignment vertical="center"/>
    </xf>
    <xf numFmtId="0" fontId="29" fillId="0" borderId="36" xfId="0" applyFont="1" applyFill="1" applyBorder="1" applyAlignment="1">
      <alignment horizontal="right" vertical="center"/>
    </xf>
    <xf numFmtId="2" fontId="29" fillId="0" borderId="33" xfId="7" applyNumberFormat="1" applyFont="1" applyFill="1" applyBorder="1" applyAlignment="1">
      <alignment vertical="center" wrapText="1"/>
    </xf>
    <xf numFmtId="195" fontId="29" fillId="0" borderId="33" xfId="0" applyNumberFormat="1" applyFont="1" applyFill="1" applyBorder="1" applyAlignment="1">
      <alignment vertical="center"/>
    </xf>
    <xf numFmtId="0" fontId="29" fillId="0" borderId="34" xfId="0" applyFont="1" applyFill="1" applyBorder="1" applyAlignment="1">
      <alignment vertical="center"/>
    </xf>
    <xf numFmtId="194" fontId="29" fillId="0" borderId="36" xfId="6" applyNumberFormat="1" applyFont="1" applyFill="1" applyBorder="1" applyAlignment="1">
      <alignment vertical="center"/>
    </xf>
    <xf numFmtId="10" fontId="29" fillId="0" borderId="36" xfId="1" applyNumberFormat="1" applyFont="1" applyFill="1" applyBorder="1">
      <alignment vertical="center"/>
    </xf>
    <xf numFmtId="0" fontId="53" fillId="2" borderId="0" xfId="2" applyFont="1" applyFill="1"/>
    <xf numFmtId="10" fontId="53" fillId="2" borderId="0" xfId="2" applyNumberFormat="1" applyFont="1" applyFill="1"/>
    <xf numFmtId="0" fontId="54" fillId="0" borderId="15" xfId="0" applyFont="1" applyFill="1" applyBorder="1" applyAlignment="1">
      <alignment horizontal="right" vertical="center"/>
    </xf>
    <xf numFmtId="10" fontId="54" fillId="0" borderId="30" xfId="1" applyNumberFormat="1" applyFont="1" applyFill="1" applyBorder="1">
      <alignment vertical="center"/>
    </xf>
  </cellXfs>
  <cellStyles count="8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工商银行!$F$327:$L$327</c:f>
              <c:numCache>
                <c:formatCode>###,###,##0.00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工商银行!$E$328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工商银行!$F$328:$L$328</c:f>
              <c:numCache>
                <c:formatCode>0.00%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 formatCode="General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576262</xdr:colOff>
      <xdr:row>307</xdr:row>
      <xdr:rowOff>61912</xdr:rowOff>
    </xdr:from>
    <xdr:to>
      <xdr:col>19</xdr:col>
      <xdr:colOff>0</xdr:colOff>
      <xdr:row>320</xdr:row>
      <xdr:rowOff>66674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1111/&#19996;&#21556;&#38134;&#34892;/&#20013;&#25253;/&#28857;&#35780;/&#24314;&#35774;&#38134;&#34892;/&#12304;&#19996;&#21556;&#38134;&#34892;&#12305;&#24314;&#35774;&#38134;&#34892;&#25968;&#25454;&#24211;(3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摘要"/>
      <sheetName val="收入拆分"/>
      <sheetName val="一张图"/>
      <sheetName val="利润表(单季)"/>
      <sheetName val="利润表"/>
      <sheetName val="利润分解"/>
      <sheetName val="资本充足情况"/>
      <sheetName val="资产负债结构"/>
      <sheetName val="投资类"/>
      <sheetName val="贷款结构及质量"/>
      <sheetName val="不良生成率"/>
      <sheetName val="存款结构"/>
      <sheetName val="净息差 "/>
      <sheetName val="同业存单"/>
    </sheetNames>
    <sheetDataSet>
      <sheetData sheetId="0">
        <row r="6">
          <cell r="B6">
            <v>16.03</v>
          </cell>
        </row>
      </sheetData>
      <sheetData sheetId="1"/>
      <sheetData sheetId="2"/>
      <sheetData sheetId="3"/>
      <sheetData sheetId="4">
        <row r="19">
          <cell r="L19">
            <v>2012</v>
          </cell>
          <cell r="M19">
            <v>2013</v>
          </cell>
          <cell r="N19">
            <v>2014</v>
          </cell>
          <cell r="O19">
            <v>2015</v>
          </cell>
          <cell r="P19">
            <v>2016</v>
          </cell>
          <cell r="Q19" t="str">
            <v>2017H</v>
          </cell>
        </row>
        <row r="20">
          <cell r="K20" t="str">
            <v>营业收入</v>
          </cell>
          <cell r="L20">
            <v>4607.46</v>
          </cell>
          <cell r="M20">
            <v>5086.08</v>
          </cell>
          <cell r="N20">
            <v>5704.7</v>
          </cell>
          <cell r="O20">
            <v>6051.97</v>
          </cell>
          <cell r="P20">
            <v>6050.9</v>
          </cell>
          <cell r="Q20">
            <v>3203.88</v>
          </cell>
        </row>
        <row r="21">
          <cell r="K21" t="str">
            <v>归母净利润</v>
          </cell>
          <cell r="L21">
            <v>1931.79</v>
          </cell>
          <cell r="M21">
            <v>2146.5700000000002</v>
          </cell>
          <cell r="N21">
            <v>2278.3000000000002</v>
          </cell>
          <cell r="O21">
            <v>2281.4499999999998</v>
          </cell>
          <cell r="P21">
            <v>2314.6</v>
          </cell>
          <cell r="Q21">
            <v>1383.39</v>
          </cell>
        </row>
        <row r="22">
          <cell r="K22" t="str">
            <v>营业收入同比增速</v>
          </cell>
          <cell r="L22">
            <v>0.1603</v>
          </cell>
          <cell r="M22">
            <v>0.10390000000000001</v>
          </cell>
          <cell r="N22">
            <v>0.1216</v>
          </cell>
          <cell r="O22">
            <v>6.0899999999999996E-2</v>
          </cell>
          <cell r="P22">
            <v>-2.0000000000000001E-4</v>
          </cell>
          <cell r="Q22">
            <v>-3.7446072128152985E-2</v>
          </cell>
        </row>
        <row r="23">
          <cell r="K23" t="str">
            <v>归母净利润同比增速</v>
          </cell>
          <cell r="L23">
            <v>0.14130000000000001</v>
          </cell>
          <cell r="M23">
            <v>0.11119999999999999</v>
          </cell>
          <cell r="N23">
            <v>6.1399999999999996E-2</v>
          </cell>
          <cell r="O23">
            <v>1.4000000000000002E-3</v>
          </cell>
          <cell r="P23">
            <v>1.4499999999999999E-2</v>
          </cell>
          <cell r="Q23">
            <v>3.694625590285594E-2</v>
          </cell>
        </row>
        <row r="24">
          <cell r="K24" t="str">
            <v>净利息收入占比</v>
          </cell>
          <cell r="L24">
            <v>0.76658723027438114</v>
          </cell>
          <cell r="M24">
            <v>0.76590222725556811</v>
          </cell>
          <cell r="N24">
            <v>0.76673269409434319</v>
          </cell>
          <cell r="O24">
            <v>0.75636858741864221</v>
          </cell>
          <cell r="P24">
            <v>0.69047414434216403</v>
          </cell>
          <cell r="Q24">
            <v>0.67996928723922245</v>
          </cell>
        </row>
        <row r="25">
          <cell r="K25" t="str">
            <v>非息净收入占比</v>
          </cell>
          <cell r="L25">
            <v>0.23341276972561886</v>
          </cell>
          <cell r="M25">
            <v>0.23409777274443189</v>
          </cell>
          <cell r="N25">
            <v>0.23326730590565681</v>
          </cell>
          <cell r="O25">
            <v>0.24363141258135779</v>
          </cell>
          <cell r="P25">
            <v>0.30952585565783597</v>
          </cell>
          <cell r="Q25">
            <v>0.32003071276077755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"/>
  <sheetViews>
    <sheetView showGridLines="0" tabSelected="1" workbookViewId="0">
      <selection activeCell="G11" sqref="G11"/>
    </sheetView>
  </sheetViews>
  <sheetFormatPr defaultRowHeight="13.9" x14ac:dyDescent="0.4"/>
  <cols>
    <col min="1" max="1" width="14.86328125" bestFit="1" customWidth="1"/>
    <col min="2" max="2" width="15.3984375" bestFit="1" customWidth="1"/>
    <col min="3" max="8" width="10.1328125" bestFit="1" customWidth="1"/>
    <col min="9" max="9" width="9.1328125" bestFit="1" customWidth="1"/>
  </cols>
  <sheetData>
    <row r="1" spans="1:9" s="535" customFormat="1" ht="14.25" x14ac:dyDescent="0.4">
      <c r="A1" s="534" t="s">
        <v>259</v>
      </c>
      <c r="B1" s="534"/>
    </row>
    <row r="2" spans="1:9" s="276" customFormat="1" ht="14.25" x14ac:dyDescent="0.4">
      <c r="A2" s="536"/>
      <c r="B2" s="536"/>
    </row>
    <row r="3" spans="1:9" s="537" customFormat="1" ht="14.25" x14ac:dyDescent="0.4">
      <c r="A3" s="273" t="s">
        <v>498</v>
      </c>
      <c r="B3" s="273" t="s">
        <v>499</v>
      </c>
      <c r="C3" s="273" t="s">
        <v>497</v>
      </c>
    </row>
    <row r="4" spans="1:9" ht="14.25" x14ac:dyDescent="0.4">
      <c r="A4" s="534" t="s">
        <v>248</v>
      </c>
      <c r="B4" s="534" t="s">
        <v>599</v>
      </c>
      <c r="C4" s="534" t="s">
        <v>600</v>
      </c>
    </row>
    <row r="5" spans="1:9" ht="14.25" x14ac:dyDescent="0.4">
      <c r="A5" s="270"/>
      <c r="B5" s="270"/>
    </row>
    <row r="6" spans="1:9" ht="14.25" x14ac:dyDescent="0.4">
      <c r="A6" s="270"/>
      <c r="B6" s="270"/>
    </row>
    <row r="7" spans="1:9" s="535" customFormat="1" ht="14.25" x14ac:dyDescent="0.4">
      <c r="A7" s="534" t="s">
        <v>258</v>
      </c>
      <c r="B7" s="534"/>
    </row>
    <row r="9" spans="1:9" ht="14.25" x14ac:dyDescent="0.4">
      <c r="A9" s="273" t="s">
        <v>497</v>
      </c>
      <c r="B9" s="273" t="s">
        <v>601</v>
      </c>
    </row>
    <row r="10" spans="1:9" ht="14.25" x14ac:dyDescent="0.4">
      <c r="A10" s="533" t="s">
        <v>92</v>
      </c>
      <c r="B10" s="533" t="s">
        <v>93</v>
      </c>
      <c r="C10" s="271"/>
      <c r="D10" s="271"/>
      <c r="E10" s="271"/>
      <c r="F10" s="271"/>
      <c r="G10" s="271"/>
      <c r="H10" s="271"/>
      <c r="I10" s="271"/>
    </row>
    <row r="11" spans="1:9" s="276" customFormat="1" ht="14.25" x14ac:dyDescent="0.4">
      <c r="A11" s="274"/>
      <c r="B11" s="274"/>
      <c r="C11" s="275"/>
      <c r="D11" s="275"/>
      <c r="E11" s="275"/>
      <c r="F11" s="275"/>
      <c r="G11" s="275"/>
      <c r="H11" s="275"/>
      <c r="I11" s="275"/>
    </row>
    <row r="12" spans="1:9" x14ac:dyDescent="0.4">
      <c r="A12" s="271"/>
      <c r="B12" s="281"/>
      <c r="C12" s="282">
        <v>40908</v>
      </c>
      <c r="D12" s="282">
        <v>41274</v>
      </c>
      <c r="E12" s="282">
        <v>41639</v>
      </c>
      <c r="F12" s="282">
        <v>42004</v>
      </c>
      <c r="G12" s="282">
        <v>42369</v>
      </c>
      <c r="H12" s="282">
        <v>42735</v>
      </c>
      <c r="I12" s="282">
        <v>42825</v>
      </c>
    </row>
    <row r="13" spans="1:9" ht="14.25" x14ac:dyDescent="0.4">
      <c r="A13" s="271"/>
      <c r="B13" s="278" t="s">
        <v>247</v>
      </c>
      <c r="C13" s="272">
        <f>INDEX(工商银行!$E$9:$AT$1000,MATCH(首页!$B$10,工商银行!$C$9:$C$1000,0),MATCH(首页!C$12,工商银行!$E$6:$AT$6,0))</f>
        <v>475214</v>
      </c>
      <c r="D13" s="272">
        <f>INDEX(工商银行!$E$9:$AT$1000,MATCH(首页!$B$10,工商银行!$C$9:$C$1000,0),MATCH(首页!D$12,工商银行!$E$6:$AT$6,0))</f>
        <v>536945</v>
      </c>
      <c r="E13" s="272">
        <f>INDEX(工商银行!$E$9:$AT$1000,MATCH(首页!$B$10,工商银行!$C$9:$C$1000,0),MATCH(首页!E$12,工商银行!$E$6:$AT$6,0))</f>
        <v>589637</v>
      </c>
      <c r="F13" s="272">
        <f>INDEX(工商银行!$E$9:$AT$1000,MATCH(首页!$B$10,工商银行!$C$9:$C$1000,0),MATCH(首页!F$12,工商银行!$E$6:$AT$6,0))</f>
        <v>658892</v>
      </c>
      <c r="G13" s="272">
        <f>INDEX(工商银行!$E$9:$AT$1000,MATCH(首页!$B$10,工商银行!$C$9:$C$1000,0),MATCH(首页!G$12,工商银行!$E$6:$AT$6,0))</f>
        <v>697647</v>
      </c>
      <c r="H13" s="272">
        <f>INDEX(工商银行!$E$9:$AT$1000,MATCH(首页!$B$10,工商银行!$C$9:$C$1000,0),MATCH(首页!H$12,工商银行!$E$6:$AT$6,0))</f>
        <v>675891</v>
      </c>
      <c r="I13" s="272">
        <f>INDEX(工商银行!$E$9:$AT$1000,MATCH(首页!$B$10,工商银行!$C$9:$C$1000,0),MATCH(首页!I$12,工商银行!$E$6:$AT$6,0))</f>
        <v>189525</v>
      </c>
    </row>
    <row r="14" spans="1:9" ht="14.25" x14ac:dyDescent="0.4">
      <c r="A14" s="271"/>
      <c r="B14" s="278" t="s">
        <v>249</v>
      </c>
      <c r="C14" s="272">
        <f>INDEX(交通银行!$E$9:$AT$1000,MATCH(首页!$B$10,交通银行!$C$9:$C$1000,0),MATCH(首页!C$12,交通银行!$E$6:$AT$6,0))</f>
        <v>126956</v>
      </c>
      <c r="D14" s="272">
        <f>INDEX(交通银行!$E$9:$AT$1000,MATCH(首页!$B$10,交通银行!$C$9:$C$1000,0),MATCH(首页!D$12,交通银行!$E$6:$AT$6,0))</f>
        <v>147337</v>
      </c>
      <c r="E14" s="272">
        <f>INDEX(交通银行!$E$9:$AT$1000,MATCH(首页!$B$10,交通银行!$C$9:$C$1000,0),MATCH(首页!E$12,交通银行!$E$6:$AT$6,0))</f>
        <v>164435</v>
      </c>
      <c r="F14" s="272">
        <f>INDEX(交通银行!$E$9:$AT$1000,MATCH(首页!$B$10,交通银行!$C$9:$C$1000,0),MATCH(首页!F$12,交通银行!$E$6:$AT$6,0))</f>
        <v>177401</v>
      </c>
      <c r="G14" s="272">
        <f>INDEX(交通银行!$E$9:$AT$1000,MATCH(首页!$B$10,交通银行!$C$9:$C$1000,0),MATCH(首页!G$12,交通银行!$E$6:$AT$6,0))</f>
        <v>193828</v>
      </c>
      <c r="H14" s="272">
        <f>INDEX(交通银行!$E$9:$AT$1000,MATCH(首页!$B$10,交通银行!$C$9:$C$1000,0),MATCH(首页!H$12,交通银行!$E$6:$AT$6,0))</f>
        <v>193129</v>
      </c>
      <c r="I14" s="272">
        <f>INDEX(交通银行!$E$9:$AT$1000,MATCH(首页!$B$10,交通银行!$C$9:$C$1000,0),MATCH(首页!I$12,交通银行!$E$6:$AT$6,0))</f>
        <v>54885</v>
      </c>
    </row>
    <row r="15" spans="1:9" ht="14.25" x14ac:dyDescent="0.4">
      <c r="A15" s="271"/>
      <c r="B15" s="278" t="s">
        <v>227</v>
      </c>
      <c r="C15" s="272">
        <f>INDEX(平安银行!$E$9:$AT$1000,MATCH(首页!$B$10,平安银行!$C$9:$C$1000,0),MATCH(首页!C$12,平安银行!$E$6:$AT$6,0))</f>
        <v>29643.061000000002</v>
      </c>
      <c r="D15" s="272">
        <f>INDEX(平安银行!$E$9:$AT$1000,MATCH(首页!$B$10,平安银行!$C$9:$C$1000,0),MATCH(首页!D$12,平安银行!$E$6:$AT$6,0))</f>
        <v>39748.648000000008</v>
      </c>
      <c r="E15" s="272">
        <f>INDEX(平安银行!$E$9:$AT$1000,MATCH(首页!$B$10,平安银行!$C$9:$C$1000,0),MATCH(首页!E$12,平安银行!$E$6:$AT$6,0))</f>
        <v>52189</v>
      </c>
      <c r="F15" s="272">
        <f>INDEX(平安银行!$E$9:$AT$1000,MATCH(首页!$B$10,平安银行!$C$9:$C$1000,0),MATCH(首页!F$12,平安银行!$E$6:$AT$6,0))</f>
        <v>73407</v>
      </c>
      <c r="G15" s="272">
        <f>INDEX(平安银行!$E$9:$AT$1000,MATCH(首页!$B$10,平安银行!$C$9:$C$1000,0),MATCH(首页!G$12,平安银行!$E$6:$AT$6,0))</f>
        <v>96163</v>
      </c>
      <c r="H15" s="272">
        <f>INDEX(平安银行!$E$9:$AT$1000,MATCH(首页!$B$10,平安银行!$C$9:$C$1000,0),MATCH(首页!H$12,平安银行!$E$6:$AT$6,0))</f>
        <v>107715</v>
      </c>
      <c r="I15" s="272">
        <f>INDEX(平安银行!$E$9:$AT$1000,MATCH(首页!$B$10,平安银行!$C$9:$C$1000,0),MATCH(首页!I$12,平安银行!$E$6:$AT$6,0))</f>
        <v>27712</v>
      </c>
    </row>
    <row r="16" spans="1:9" ht="14.25" x14ac:dyDescent="0.4">
      <c r="A16" s="271"/>
      <c r="B16" s="279" t="s">
        <v>252</v>
      </c>
      <c r="C16" s="277">
        <f>INDEX(光大银行!$E$9:$AT$1000,MATCH(首页!$B$10,光大银行!$C$9:$C$1000,0),MATCH(首页!C$12,光大银行!$E$6:$AT$6,0))</f>
        <v>46072.552999999993</v>
      </c>
      <c r="D16" s="277">
        <f>INDEX(光大银行!$E$9:$AT$1000,MATCH(首页!$B$10,光大银行!$C$9:$C$1000,0),MATCH(首页!D$12,光大银行!$E$6:$AT$6,0))</f>
        <v>59916</v>
      </c>
      <c r="E16" s="277">
        <f>INDEX(光大银行!$E$9:$AT$1000,MATCH(首页!$B$10,光大银行!$C$9:$C$1000,0),MATCH(首页!E$12,光大银行!$E$6:$AT$6,0))</f>
        <v>65306</v>
      </c>
      <c r="F16" s="277">
        <f>INDEX(光大银行!$E$9:$AT$1000,MATCH(首页!$B$10,光大银行!$C$9:$C$1000,0),MATCH(首页!F$12,光大银行!$E$6:$AT$6,0))</f>
        <v>78531</v>
      </c>
      <c r="G16" s="277">
        <f>INDEX(光大银行!$E$9:$AT$1000,MATCH(首页!$B$10,光大银行!$C$9:$C$1000,0),MATCH(首页!G$12,光大银行!$E$6:$AT$6,0))</f>
        <v>93159</v>
      </c>
      <c r="H16" s="277">
        <f>INDEX(光大银行!$E$9:$AT$1000,MATCH(首页!$B$10,光大银行!$C$9:$C$1000,0),MATCH(首页!H$12,光大银行!$E$6:$AT$6,0))</f>
        <v>94037</v>
      </c>
      <c r="I16" s="277">
        <f>INDEX(光大银行!$E$9:$AT$1000,MATCH(首页!$B$10,光大银行!$C$9:$C$1000,0),MATCH(首页!I$12,光大银行!$E$6:$AT$6,0))</f>
        <v>23657</v>
      </c>
    </row>
    <row r="17" spans="1:9" ht="14.25" x14ac:dyDescent="0.4">
      <c r="A17" s="271"/>
      <c r="B17" s="280" t="s">
        <v>254</v>
      </c>
      <c r="C17" s="272">
        <f>SUM(C13:C14)</f>
        <v>602170</v>
      </c>
      <c r="D17" s="272">
        <f t="shared" ref="D17:I17" si="0">SUM(D13:D14)</f>
        <v>684282</v>
      </c>
      <c r="E17" s="272">
        <f t="shared" si="0"/>
        <v>754072</v>
      </c>
      <c r="F17" s="272">
        <f t="shared" si="0"/>
        <v>836293</v>
      </c>
      <c r="G17" s="272">
        <f t="shared" si="0"/>
        <v>891475</v>
      </c>
      <c r="H17" s="272">
        <f t="shared" si="0"/>
        <v>869020</v>
      </c>
      <c r="I17" s="272">
        <f t="shared" si="0"/>
        <v>244410</v>
      </c>
    </row>
    <row r="18" spans="1:9" ht="14.25" x14ac:dyDescent="0.4">
      <c r="A18" s="271"/>
      <c r="B18" s="280" t="s">
        <v>255</v>
      </c>
      <c r="C18" s="272">
        <f>SUM(C15:C16)</f>
        <v>75715.614000000001</v>
      </c>
      <c r="D18" s="272">
        <f t="shared" ref="D18:I18" si="1">SUM(D15:D16)</f>
        <v>99664.648000000016</v>
      </c>
      <c r="E18" s="272">
        <f t="shared" si="1"/>
        <v>117495</v>
      </c>
      <c r="F18" s="272">
        <f t="shared" si="1"/>
        <v>151938</v>
      </c>
      <c r="G18" s="272">
        <f t="shared" si="1"/>
        <v>189322</v>
      </c>
      <c r="H18" s="272">
        <f t="shared" si="1"/>
        <v>201752</v>
      </c>
      <c r="I18" s="272">
        <f t="shared" si="1"/>
        <v>51369</v>
      </c>
    </row>
    <row r="19" spans="1:9" ht="14.25" x14ac:dyDescent="0.4">
      <c r="A19" s="271"/>
      <c r="B19" s="280" t="s">
        <v>256</v>
      </c>
      <c r="C19" s="272">
        <f>AVERAGE(C13:C14)</f>
        <v>301085</v>
      </c>
      <c r="D19" s="272">
        <f t="shared" ref="D19:I19" si="2">AVERAGE(D13:D14)</f>
        <v>342141</v>
      </c>
      <c r="E19" s="272">
        <f t="shared" si="2"/>
        <v>377036</v>
      </c>
      <c r="F19" s="272">
        <f t="shared" si="2"/>
        <v>418146.5</v>
      </c>
      <c r="G19" s="272">
        <f t="shared" si="2"/>
        <v>445737.5</v>
      </c>
      <c r="H19" s="272">
        <f t="shared" si="2"/>
        <v>434510</v>
      </c>
      <c r="I19" s="272">
        <f t="shared" si="2"/>
        <v>122205</v>
      </c>
    </row>
    <row r="20" spans="1:9" ht="14.25" x14ac:dyDescent="0.4">
      <c r="A20" s="271"/>
      <c r="B20" s="280" t="s">
        <v>257</v>
      </c>
      <c r="C20" s="272">
        <f>AVERAGE(C15:C16)</f>
        <v>37857.807000000001</v>
      </c>
      <c r="D20" s="272">
        <f t="shared" ref="D20:I20" si="3">AVERAGE(D15:D16)</f>
        <v>49832.324000000008</v>
      </c>
      <c r="E20" s="272">
        <f t="shared" si="3"/>
        <v>58747.5</v>
      </c>
      <c r="F20" s="272">
        <f t="shared" si="3"/>
        <v>75969</v>
      </c>
      <c r="G20" s="272">
        <f t="shared" si="3"/>
        <v>94661</v>
      </c>
      <c r="H20" s="272">
        <f t="shared" si="3"/>
        <v>100876</v>
      </c>
      <c r="I20" s="272">
        <f t="shared" si="3"/>
        <v>25684.5</v>
      </c>
    </row>
  </sheetData>
  <phoneticPr fontId="4" type="noConversion"/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辅助页!$A$20:$A$23</xm:f>
          </x14:formula1>
          <xm:sqref>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0"/>
  <sheetViews>
    <sheetView workbookViewId="0">
      <selection activeCell="M5" sqref="M5"/>
    </sheetView>
  </sheetViews>
  <sheetFormatPr defaultRowHeight="13.9" x14ac:dyDescent="0.4"/>
  <cols>
    <col min="1" max="1" width="4.46484375" style="17" customWidth="1"/>
    <col min="4" max="4" width="27.265625" bestFit="1" customWidth="1"/>
  </cols>
  <sheetData>
    <row r="1" spans="1:13" ht="14.25" thickBot="1" x14ac:dyDescent="0.45">
      <c r="A1" s="16" t="s">
        <v>6</v>
      </c>
      <c r="D1" t="s">
        <v>253</v>
      </c>
      <c r="E1" s="60" t="s">
        <v>92</v>
      </c>
      <c r="L1" t="s">
        <v>495</v>
      </c>
      <c r="M1" t="s">
        <v>496</v>
      </c>
    </row>
    <row r="2" spans="1:13" x14ac:dyDescent="0.4">
      <c r="A2" s="60" t="s">
        <v>92</v>
      </c>
      <c r="D2" s="22" t="s">
        <v>39</v>
      </c>
      <c r="E2" s="61" t="s">
        <v>93</v>
      </c>
      <c r="L2" t="s">
        <v>268</v>
      </c>
      <c r="M2" s="27" t="s">
        <v>494</v>
      </c>
    </row>
    <row r="3" spans="1:13" x14ac:dyDescent="0.4">
      <c r="A3" s="94" t="s">
        <v>128</v>
      </c>
      <c r="D3" s="26" t="s">
        <v>40</v>
      </c>
      <c r="E3" s="17" t="s">
        <v>94</v>
      </c>
    </row>
    <row r="4" spans="1:13" x14ac:dyDescent="0.4">
      <c r="A4" s="94" t="s">
        <v>137</v>
      </c>
      <c r="D4" s="26" t="s">
        <v>41</v>
      </c>
      <c r="E4" s="17" t="s">
        <v>95</v>
      </c>
    </row>
    <row r="5" spans="1:13" x14ac:dyDescent="0.4">
      <c r="A5" s="94" t="s">
        <v>146</v>
      </c>
      <c r="D5" s="26" t="s">
        <v>42</v>
      </c>
      <c r="E5" s="64" t="s">
        <v>96</v>
      </c>
    </row>
    <row r="6" spans="1:13" x14ac:dyDescent="0.4">
      <c r="A6" s="94" t="s">
        <v>175</v>
      </c>
      <c r="D6" s="26" t="s">
        <v>43</v>
      </c>
      <c r="E6" s="66" t="s">
        <v>97</v>
      </c>
    </row>
    <row r="7" spans="1:13" x14ac:dyDescent="0.4">
      <c r="A7" s="94" t="s">
        <v>183</v>
      </c>
      <c r="D7" s="26" t="s">
        <v>44</v>
      </c>
      <c r="E7" s="17" t="s">
        <v>98</v>
      </c>
    </row>
    <row r="8" spans="1:13" x14ac:dyDescent="0.4">
      <c r="A8" s="187" t="s">
        <v>192</v>
      </c>
      <c r="D8" s="26" t="s">
        <v>45</v>
      </c>
      <c r="E8" s="17" t="s">
        <v>99</v>
      </c>
    </row>
    <row r="9" spans="1:13" x14ac:dyDescent="0.4">
      <c r="A9" s="94" t="s">
        <v>200</v>
      </c>
      <c r="D9" s="26" t="s">
        <v>46</v>
      </c>
      <c r="E9" s="51" t="s">
        <v>100</v>
      </c>
    </row>
    <row r="10" spans="1:13" x14ac:dyDescent="0.4">
      <c r="A10" s="94" t="s">
        <v>207</v>
      </c>
      <c r="D10" s="26" t="s">
        <v>47</v>
      </c>
      <c r="E10" s="17" t="s">
        <v>101</v>
      </c>
    </row>
    <row r="11" spans="1:13" x14ac:dyDescent="0.4">
      <c r="A11" s="94" t="s">
        <v>215</v>
      </c>
      <c r="D11" s="26" t="s">
        <v>48</v>
      </c>
      <c r="E11" s="17" t="s">
        <v>102</v>
      </c>
    </row>
    <row r="12" spans="1:13" x14ac:dyDescent="0.4">
      <c r="A12" s="114" t="s">
        <v>221</v>
      </c>
      <c r="D12" s="26" t="s">
        <v>49</v>
      </c>
      <c r="E12" s="17" t="s">
        <v>103</v>
      </c>
    </row>
    <row r="13" spans="1:13" x14ac:dyDescent="0.4">
      <c r="A13" s="94" t="s">
        <v>224</v>
      </c>
      <c r="D13" s="26" t="s">
        <v>50</v>
      </c>
      <c r="E13" s="27" t="s">
        <v>104</v>
      </c>
    </row>
    <row r="14" spans="1:13" ht="14.25" thickBot="1" x14ac:dyDescent="0.45">
      <c r="D14" s="26" t="s">
        <v>51</v>
      </c>
      <c r="E14" s="70" t="s">
        <v>105</v>
      </c>
    </row>
    <row r="15" spans="1:13" x14ac:dyDescent="0.4">
      <c r="D15" s="26" t="s">
        <v>52</v>
      </c>
      <c r="E15" s="61" t="s">
        <v>106</v>
      </c>
    </row>
    <row r="16" spans="1:13" x14ac:dyDescent="0.4">
      <c r="D16" s="26" t="s">
        <v>53</v>
      </c>
      <c r="E16" s="17" t="s">
        <v>107</v>
      </c>
    </row>
    <row r="17" spans="1:5" x14ac:dyDescent="0.4">
      <c r="D17" s="27" t="s">
        <v>54</v>
      </c>
      <c r="E17" s="17" t="s">
        <v>109</v>
      </c>
    </row>
    <row r="18" spans="1:5" x14ac:dyDescent="0.4">
      <c r="D18" s="27" t="s">
        <v>55</v>
      </c>
      <c r="E18" s="17" t="s">
        <v>110</v>
      </c>
    </row>
    <row r="19" spans="1:5" ht="14.25" thickBot="1" x14ac:dyDescent="0.45">
      <c r="D19" s="27" t="s">
        <v>56</v>
      </c>
      <c r="E19" s="70" t="s">
        <v>111</v>
      </c>
    </row>
    <row r="20" spans="1:5" x14ac:dyDescent="0.4">
      <c r="A20" s="27" t="s">
        <v>247</v>
      </c>
      <c r="D20" s="27" t="s">
        <v>57</v>
      </c>
      <c r="E20" s="61" t="s">
        <v>112</v>
      </c>
    </row>
    <row r="21" spans="1:5" x14ac:dyDescent="0.4">
      <c r="A21" s="27" t="s">
        <v>249</v>
      </c>
      <c r="D21" s="27" t="s">
        <v>58</v>
      </c>
      <c r="E21" s="17" t="s">
        <v>113</v>
      </c>
    </row>
    <row r="22" spans="1:5" ht="14.25" thickBot="1" x14ac:dyDescent="0.45">
      <c r="A22" s="27" t="s">
        <v>251</v>
      </c>
      <c r="D22" s="29" t="s">
        <v>59</v>
      </c>
      <c r="E22" s="17" t="s">
        <v>114</v>
      </c>
    </row>
    <row r="23" spans="1:5" x14ac:dyDescent="0.4">
      <c r="A23" s="27" t="s">
        <v>250</v>
      </c>
      <c r="D23" s="36" t="s">
        <v>61</v>
      </c>
      <c r="E23" s="76" t="s">
        <v>115</v>
      </c>
    </row>
    <row r="24" spans="1:5" x14ac:dyDescent="0.4">
      <c r="A24" s="27"/>
      <c r="D24" s="26" t="s">
        <v>62</v>
      </c>
      <c r="E24" s="78" t="s">
        <v>116</v>
      </c>
    </row>
    <row r="25" spans="1:5" x14ac:dyDescent="0.4">
      <c r="A25" s="27"/>
      <c r="D25" s="26" t="s">
        <v>63</v>
      </c>
      <c r="E25" s="17" t="s">
        <v>117</v>
      </c>
    </row>
    <row r="26" spans="1:5" x14ac:dyDescent="0.4">
      <c r="A26" s="27"/>
      <c r="D26" s="38" t="s">
        <v>64</v>
      </c>
      <c r="E26" s="78" t="s">
        <v>118</v>
      </c>
    </row>
    <row r="27" spans="1:5" x14ac:dyDescent="0.4">
      <c r="A27" s="27"/>
      <c r="D27" s="38" t="s">
        <v>65</v>
      </c>
      <c r="E27" s="17" t="s">
        <v>119</v>
      </c>
    </row>
    <row r="28" spans="1:5" ht="14.25" thickBot="1" x14ac:dyDescent="0.45">
      <c r="A28" s="27"/>
      <c r="D28" s="38" t="s">
        <v>66</v>
      </c>
      <c r="E28" s="70" t="s">
        <v>120</v>
      </c>
    </row>
    <row r="29" spans="1:5" x14ac:dyDescent="0.4">
      <c r="A29" s="27"/>
      <c r="D29" s="27" t="s">
        <v>67</v>
      </c>
      <c r="E29" s="44" t="s">
        <v>121</v>
      </c>
    </row>
    <row r="30" spans="1:5" x14ac:dyDescent="0.4">
      <c r="A30" s="27"/>
      <c r="D30" s="38" t="s">
        <v>68</v>
      </c>
      <c r="E30" s="78" t="s">
        <v>122</v>
      </c>
    </row>
    <row r="31" spans="1:5" x14ac:dyDescent="0.4">
      <c r="A31" s="27"/>
      <c r="D31" s="38" t="s">
        <v>69</v>
      </c>
      <c r="E31" s="17" t="s">
        <v>123</v>
      </c>
    </row>
    <row r="32" spans="1:5" ht="14.25" thickBot="1" x14ac:dyDescent="0.45">
      <c r="A32" s="27"/>
      <c r="D32" s="38" t="s">
        <v>70</v>
      </c>
      <c r="E32" s="70" t="s">
        <v>124</v>
      </c>
    </row>
    <row r="33" spans="1:5" x14ac:dyDescent="0.4">
      <c r="A33" s="27"/>
      <c r="D33" s="38" t="s">
        <v>71</v>
      </c>
      <c r="E33" s="90" t="s">
        <v>125</v>
      </c>
    </row>
    <row r="34" spans="1:5" x14ac:dyDescent="0.4">
      <c r="A34" s="27"/>
      <c r="D34" s="38" t="s">
        <v>72</v>
      </c>
      <c r="E34" s="38" t="s">
        <v>126</v>
      </c>
    </row>
    <row r="35" spans="1:5" ht="14.25" thickBot="1" x14ac:dyDescent="0.45">
      <c r="A35" s="27"/>
      <c r="D35" s="26" t="s">
        <v>73</v>
      </c>
      <c r="E35" s="92" t="s">
        <v>127</v>
      </c>
    </row>
    <row r="36" spans="1:5" x14ac:dyDescent="0.4">
      <c r="D36" s="17" t="s">
        <v>74</v>
      </c>
    </row>
    <row r="37" spans="1:5" x14ac:dyDescent="0.4">
      <c r="D37" s="27" t="s">
        <v>75</v>
      </c>
    </row>
    <row r="38" spans="1:5" ht="14.25" thickBot="1" x14ac:dyDescent="0.45">
      <c r="D38" s="29" t="s">
        <v>76</v>
      </c>
    </row>
    <row r="39" spans="1:5" x14ac:dyDescent="0.4">
      <c r="D39" s="41" t="s">
        <v>78</v>
      </c>
    </row>
    <row r="40" spans="1:5" x14ac:dyDescent="0.4">
      <c r="D40" s="43" t="s">
        <v>79</v>
      </c>
    </row>
    <row r="41" spans="1:5" x14ac:dyDescent="0.4">
      <c r="D41" s="17" t="s">
        <v>81</v>
      </c>
    </row>
    <row r="42" spans="1:5" x14ac:dyDescent="0.4">
      <c r="D42" s="27" t="s">
        <v>82</v>
      </c>
    </row>
    <row r="43" spans="1:5" x14ac:dyDescent="0.4">
      <c r="D43" s="17" t="s">
        <v>83</v>
      </c>
    </row>
    <row r="44" spans="1:5" x14ac:dyDescent="0.4">
      <c r="D44" s="17" t="s">
        <v>84</v>
      </c>
    </row>
    <row r="45" spans="1:5" x14ac:dyDescent="0.4">
      <c r="D45" s="17" t="s">
        <v>85</v>
      </c>
    </row>
    <row r="46" spans="1:5" x14ac:dyDescent="0.4">
      <c r="D46" s="17" t="s">
        <v>86</v>
      </c>
    </row>
    <row r="47" spans="1:5" x14ac:dyDescent="0.4">
      <c r="D47" s="49" t="s">
        <v>87</v>
      </c>
    </row>
    <row r="48" spans="1:5" x14ac:dyDescent="0.4">
      <c r="D48" s="51" t="s">
        <v>88</v>
      </c>
    </row>
    <row r="49" spans="4:4" x14ac:dyDescent="0.4">
      <c r="D49" s="53" t="s">
        <v>89</v>
      </c>
    </row>
    <row r="50" spans="4:4" ht="14.25" thickBot="1" x14ac:dyDescent="0.45">
      <c r="D50" s="55" t="s">
        <v>90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364"/>
  <sheetViews>
    <sheetView showGridLines="0" topLeftCell="A297" workbookViewId="0">
      <selection activeCell="P322" sqref="P322"/>
    </sheetView>
  </sheetViews>
  <sheetFormatPr defaultRowHeight="12.75" x14ac:dyDescent="0.35"/>
  <cols>
    <col min="1" max="1" width="1.46484375" style="17" customWidth="1"/>
    <col min="2" max="2" width="4.46484375" style="17" customWidth="1"/>
    <col min="3" max="3" width="26.73046875" style="17" customWidth="1"/>
    <col min="4" max="4" width="2.46484375" style="17" customWidth="1"/>
    <col min="5" max="8" width="9.73046875" style="17" customWidth="1"/>
    <col min="9" max="9" width="12.59765625" style="17" customWidth="1"/>
    <col min="10" max="32" width="9.73046875" style="17" customWidth="1"/>
    <col min="33" max="33" width="11.265625" style="17" customWidth="1"/>
    <col min="34" max="36" width="9.73046875" style="17" customWidth="1"/>
    <col min="37" max="37" width="11.265625" style="17" customWidth="1"/>
    <col min="38" max="40" width="9.73046875" style="17" customWidth="1"/>
    <col min="41" max="41" width="11.265625" style="17" customWidth="1"/>
    <col min="42" max="44" width="9.73046875" style="17" customWidth="1"/>
    <col min="45" max="45" width="14.1328125" style="17" customWidth="1"/>
    <col min="46" max="46" width="9.73046875" style="17" customWidth="1"/>
    <col min="47" max="256" width="9.06640625" style="17"/>
    <col min="257" max="257" width="0" style="17" hidden="1" customWidth="1"/>
    <col min="258" max="258" width="4.46484375" style="17" customWidth="1"/>
    <col min="259" max="259" width="26.73046875" style="17" customWidth="1"/>
    <col min="260" max="260" width="0.59765625" style="17" customWidth="1"/>
    <col min="261" max="286" width="9.73046875" style="17" customWidth="1"/>
    <col min="287" max="512" width="9.06640625" style="17"/>
    <col min="513" max="513" width="0" style="17" hidden="1" customWidth="1"/>
    <col min="514" max="514" width="4.46484375" style="17" customWidth="1"/>
    <col min="515" max="515" width="26.73046875" style="17" customWidth="1"/>
    <col min="516" max="516" width="0.59765625" style="17" customWidth="1"/>
    <col min="517" max="542" width="9.73046875" style="17" customWidth="1"/>
    <col min="543" max="768" width="9.06640625" style="17"/>
    <col min="769" max="769" width="0" style="17" hidden="1" customWidth="1"/>
    <col min="770" max="770" width="4.46484375" style="17" customWidth="1"/>
    <col min="771" max="771" width="26.73046875" style="17" customWidth="1"/>
    <col min="772" max="772" width="0.59765625" style="17" customWidth="1"/>
    <col min="773" max="798" width="9.73046875" style="17" customWidth="1"/>
    <col min="799" max="1024" width="9.06640625" style="17"/>
    <col min="1025" max="1025" width="0" style="17" hidden="1" customWidth="1"/>
    <col min="1026" max="1026" width="4.46484375" style="17" customWidth="1"/>
    <col min="1027" max="1027" width="26.73046875" style="17" customWidth="1"/>
    <col min="1028" max="1028" width="0.59765625" style="17" customWidth="1"/>
    <col min="1029" max="1054" width="9.73046875" style="17" customWidth="1"/>
    <col min="1055" max="1280" width="9.06640625" style="17"/>
    <col min="1281" max="1281" width="0" style="17" hidden="1" customWidth="1"/>
    <col min="1282" max="1282" width="4.46484375" style="17" customWidth="1"/>
    <col min="1283" max="1283" width="26.73046875" style="17" customWidth="1"/>
    <col min="1284" max="1284" width="0.59765625" style="17" customWidth="1"/>
    <col min="1285" max="1310" width="9.73046875" style="17" customWidth="1"/>
    <col min="1311" max="1536" width="9.06640625" style="17"/>
    <col min="1537" max="1537" width="0" style="17" hidden="1" customWidth="1"/>
    <col min="1538" max="1538" width="4.46484375" style="17" customWidth="1"/>
    <col min="1539" max="1539" width="26.73046875" style="17" customWidth="1"/>
    <col min="1540" max="1540" width="0.59765625" style="17" customWidth="1"/>
    <col min="1541" max="1566" width="9.73046875" style="17" customWidth="1"/>
    <col min="1567" max="1792" width="9.06640625" style="17"/>
    <col min="1793" max="1793" width="0" style="17" hidden="1" customWidth="1"/>
    <col min="1794" max="1794" width="4.46484375" style="17" customWidth="1"/>
    <col min="1795" max="1795" width="26.73046875" style="17" customWidth="1"/>
    <col min="1796" max="1796" width="0.59765625" style="17" customWidth="1"/>
    <col min="1797" max="1822" width="9.73046875" style="17" customWidth="1"/>
    <col min="1823" max="2048" width="9.06640625" style="17"/>
    <col min="2049" max="2049" width="0" style="17" hidden="1" customWidth="1"/>
    <col min="2050" max="2050" width="4.46484375" style="17" customWidth="1"/>
    <col min="2051" max="2051" width="26.73046875" style="17" customWidth="1"/>
    <col min="2052" max="2052" width="0.59765625" style="17" customWidth="1"/>
    <col min="2053" max="2078" width="9.73046875" style="17" customWidth="1"/>
    <col min="2079" max="2304" width="9.06640625" style="17"/>
    <col min="2305" max="2305" width="0" style="17" hidden="1" customWidth="1"/>
    <col min="2306" max="2306" width="4.46484375" style="17" customWidth="1"/>
    <col min="2307" max="2307" width="26.73046875" style="17" customWidth="1"/>
    <col min="2308" max="2308" width="0.59765625" style="17" customWidth="1"/>
    <col min="2309" max="2334" width="9.73046875" style="17" customWidth="1"/>
    <col min="2335" max="2560" width="9.06640625" style="17"/>
    <col min="2561" max="2561" width="0" style="17" hidden="1" customWidth="1"/>
    <col min="2562" max="2562" width="4.46484375" style="17" customWidth="1"/>
    <col min="2563" max="2563" width="26.73046875" style="17" customWidth="1"/>
    <col min="2564" max="2564" width="0.59765625" style="17" customWidth="1"/>
    <col min="2565" max="2590" width="9.73046875" style="17" customWidth="1"/>
    <col min="2591" max="2816" width="9.06640625" style="17"/>
    <col min="2817" max="2817" width="0" style="17" hidden="1" customWidth="1"/>
    <col min="2818" max="2818" width="4.46484375" style="17" customWidth="1"/>
    <col min="2819" max="2819" width="26.73046875" style="17" customWidth="1"/>
    <col min="2820" max="2820" width="0.59765625" style="17" customWidth="1"/>
    <col min="2821" max="2846" width="9.73046875" style="17" customWidth="1"/>
    <col min="2847" max="3072" width="9.06640625" style="17"/>
    <col min="3073" max="3073" width="0" style="17" hidden="1" customWidth="1"/>
    <col min="3074" max="3074" width="4.46484375" style="17" customWidth="1"/>
    <col min="3075" max="3075" width="26.73046875" style="17" customWidth="1"/>
    <col min="3076" max="3076" width="0.59765625" style="17" customWidth="1"/>
    <col min="3077" max="3102" width="9.73046875" style="17" customWidth="1"/>
    <col min="3103" max="3328" width="9.06640625" style="17"/>
    <col min="3329" max="3329" width="0" style="17" hidden="1" customWidth="1"/>
    <col min="3330" max="3330" width="4.46484375" style="17" customWidth="1"/>
    <col min="3331" max="3331" width="26.73046875" style="17" customWidth="1"/>
    <col min="3332" max="3332" width="0.59765625" style="17" customWidth="1"/>
    <col min="3333" max="3358" width="9.73046875" style="17" customWidth="1"/>
    <col min="3359" max="3584" width="9.06640625" style="17"/>
    <col min="3585" max="3585" width="0" style="17" hidden="1" customWidth="1"/>
    <col min="3586" max="3586" width="4.46484375" style="17" customWidth="1"/>
    <col min="3587" max="3587" width="26.73046875" style="17" customWidth="1"/>
    <col min="3588" max="3588" width="0.59765625" style="17" customWidth="1"/>
    <col min="3589" max="3614" width="9.73046875" style="17" customWidth="1"/>
    <col min="3615" max="3840" width="9.06640625" style="17"/>
    <col min="3841" max="3841" width="0" style="17" hidden="1" customWidth="1"/>
    <col min="3842" max="3842" width="4.46484375" style="17" customWidth="1"/>
    <col min="3843" max="3843" width="26.73046875" style="17" customWidth="1"/>
    <col min="3844" max="3844" width="0.59765625" style="17" customWidth="1"/>
    <col min="3845" max="3870" width="9.73046875" style="17" customWidth="1"/>
    <col min="3871" max="4096" width="9.06640625" style="17"/>
    <col min="4097" max="4097" width="0" style="17" hidden="1" customWidth="1"/>
    <col min="4098" max="4098" width="4.46484375" style="17" customWidth="1"/>
    <col min="4099" max="4099" width="26.73046875" style="17" customWidth="1"/>
    <col min="4100" max="4100" width="0.59765625" style="17" customWidth="1"/>
    <col min="4101" max="4126" width="9.73046875" style="17" customWidth="1"/>
    <col min="4127" max="4352" width="9.06640625" style="17"/>
    <col min="4353" max="4353" width="0" style="17" hidden="1" customWidth="1"/>
    <col min="4354" max="4354" width="4.46484375" style="17" customWidth="1"/>
    <col min="4355" max="4355" width="26.73046875" style="17" customWidth="1"/>
    <col min="4356" max="4356" width="0.59765625" style="17" customWidth="1"/>
    <col min="4357" max="4382" width="9.73046875" style="17" customWidth="1"/>
    <col min="4383" max="4608" width="9.06640625" style="17"/>
    <col min="4609" max="4609" width="0" style="17" hidden="1" customWidth="1"/>
    <col min="4610" max="4610" width="4.46484375" style="17" customWidth="1"/>
    <col min="4611" max="4611" width="26.73046875" style="17" customWidth="1"/>
    <col min="4612" max="4612" width="0.59765625" style="17" customWidth="1"/>
    <col min="4613" max="4638" width="9.73046875" style="17" customWidth="1"/>
    <col min="4639" max="4864" width="9.06640625" style="17"/>
    <col min="4865" max="4865" width="0" style="17" hidden="1" customWidth="1"/>
    <col min="4866" max="4866" width="4.46484375" style="17" customWidth="1"/>
    <col min="4867" max="4867" width="26.73046875" style="17" customWidth="1"/>
    <col min="4868" max="4868" width="0.59765625" style="17" customWidth="1"/>
    <col min="4869" max="4894" width="9.73046875" style="17" customWidth="1"/>
    <col min="4895" max="5120" width="9.06640625" style="17"/>
    <col min="5121" max="5121" width="0" style="17" hidden="1" customWidth="1"/>
    <col min="5122" max="5122" width="4.46484375" style="17" customWidth="1"/>
    <col min="5123" max="5123" width="26.73046875" style="17" customWidth="1"/>
    <col min="5124" max="5124" width="0.59765625" style="17" customWidth="1"/>
    <col min="5125" max="5150" width="9.73046875" style="17" customWidth="1"/>
    <col min="5151" max="5376" width="9.06640625" style="17"/>
    <col min="5377" max="5377" width="0" style="17" hidden="1" customWidth="1"/>
    <col min="5378" max="5378" width="4.46484375" style="17" customWidth="1"/>
    <col min="5379" max="5379" width="26.73046875" style="17" customWidth="1"/>
    <col min="5380" max="5380" width="0.59765625" style="17" customWidth="1"/>
    <col min="5381" max="5406" width="9.73046875" style="17" customWidth="1"/>
    <col min="5407" max="5632" width="9.06640625" style="17"/>
    <col min="5633" max="5633" width="0" style="17" hidden="1" customWidth="1"/>
    <col min="5634" max="5634" width="4.46484375" style="17" customWidth="1"/>
    <col min="5635" max="5635" width="26.73046875" style="17" customWidth="1"/>
    <col min="5636" max="5636" width="0.59765625" style="17" customWidth="1"/>
    <col min="5637" max="5662" width="9.73046875" style="17" customWidth="1"/>
    <col min="5663" max="5888" width="9.06640625" style="17"/>
    <col min="5889" max="5889" width="0" style="17" hidden="1" customWidth="1"/>
    <col min="5890" max="5890" width="4.46484375" style="17" customWidth="1"/>
    <col min="5891" max="5891" width="26.73046875" style="17" customWidth="1"/>
    <col min="5892" max="5892" width="0.59765625" style="17" customWidth="1"/>
    <col min="5893" max="5918" width="9.73046875" style="17" customWidth="1"/>
    <col min="5919" max="6144" width="9.06640625" style="17"/>
    <col min="6145" max="6145" width="0" style="17" hidden="1" customWidth="1"/>
    <col min="6146" max="6146" width="4.46484375" style="17" customWidth="1"/>
    <col min="6147" max="6147" width="26.73046875" style="17" customWidth="1"/>
    <col min="6148" max="6148" width="0.59765625" style="17" customWidth="1"/>
    <col min="6149" max="6174" width="9.73046875" style="17" customWidth="1"/>
    <col min="6175" max="6400" width="9.06640625" style="17"/>
    <col min="6401" max="6401" width="0" style="17" hidden="1" customWidth="1"/>
    <col min="6402" max="6402" width="4.46484375" style="17" customWidth="1"/>
    <col min="6403" max="6403" width="26.73046875" style="17" customWidth="1"/>
    <col min="6404" max="6404" width="0.59765625" style="17" customWidth="1"/>
    <col min="6405" max="6430" width="9.73046875" style="17" customWidth="1"/>
    <col min="6431" max="6656" width="9.06640625" style="17"/>
    <col min="6657" max="6657" width="0" style="17" hidden="1" customWidth="1"/>
    <col min="6658" max="6658" width="4.46484375" style="17" customWidth="1"/>
    <col min="6659" max="6659" width="26.73046875" style="17" customWidth="1"/>
    <col min="6660" max="6660" width="0.59765625" style="17" customWidth="1"/>
    <col min="6661" max="6686" width="9.73046875" style="17" customWidth="1"/>
    <col min="6687" max="6912" width="9.06640625" style="17"/>
    <col min="6913" max="6913" width="0" style="17" hidden="1" customWidth="1"/>
    <col min="6914" max="6914" width="4.46484375" style="17" customWidth="1"/>
    <col min="6915" max="6915" width="26.73046875" style="17" customWidth="1"/>
    <col min="6916" max="6916" width="0.59765625" style="17" customWidth="1"/>
    <col min="6917" max="6942" width="9.73046875" style="17" customWidth="1"/>
    <col min="6943" max="7168" width="9.06640625" style="17"/>
    <col min="7169" max="7169" width="0" style="17" hidden="1" customWidth="1"/>
    <col min="7170" max="7170" width="4.46484375" style="17" customWidth="1"/>
    <col min="7171" max="7171" width="26.73046875" style="17" customWidth="1"/>
    <col min="7172" max="7172" width="0.59765625" style="17" customWidth="1"/>
    <col min="7173" max="7198" width="9.73046875" style="17" customWidth="1"/>
    <col min="7199" max="7424" width="9.06640625" style="17"/>
    <col min="7425" max="7425" width="0" style="17" hidden="1" customWidth="1"/>
    <col min="7426" max="7426" width="4.46484375" style="17" customWidth="1"/>
    <col min="7427" max="7427" width="26.73046875" style="17" customWidth="1"/>
    <col min="7428" max="7428" width="0.59765625" style="17" customWidth="1"/>
    <col min="7429" max="7454" width="9.73046875" style="17" customWidth="1"/>
    <col min="7455" max="7680" width="9.06640625" style="17"/>
    <col min="7681" max="7681" width="0" style="17" hidden="1" customWidth="1"/>
    <col min="7682" max="7682" width="4.46484375" style="17" customWidth="1"/>
    <col min="7683" max="7683" width="26.73046875" style="17" customWidth="1"/>
    <col min="7684" max="7684" width="0.59765625" style="17" customWidth="1"/>
    <col min="7685" max="7710" width="9.73046875" style="17" customWidth="1"/>
    <col min="7711" max="7936" width="9.06640625" style="17"/>
    <col min="7937" max="7937" width="0" style="17" hidden="1" customWidth="1"/>
    <col min="7938" max="7938" width="4.46484375" style="17" customWidth="1"/>
    <col min="7939" max="7939" width="26.73046875" style="17" customWidth="1"/>
    <col min="7940" max="7940" width="0.59765625" style="17" customWidth="1"/>
    <col min="7941" max="7966" width="9.73046875" style="17" customWidth="1"/>
    <col min="7967" max="8192" width="9.06640625" style="17"/>
    <col min="8193" max="8193" width="0" style="17" hidden="1" customWidth="1"/>
    <col min="8194" max="8194" width="4.46484375" style="17" customWidth="1"/>
    <col min="8195" max="8195" width="26.73046875" style="17" customWidth="1"/>
    <col min="8196" max="8196" width="0.59765625" style="17" customWidth="1"/>
    <col min="8197" max="8222" width="9.73046875" style="17" customWidth="1"/>
    <col min="8223" max="8448" width="9.06640625" style="17"/>
    <col min="8449" max="8449" width="0" style="17" hidden="1" customWidth="1"/>
    <col min="8450" max="8450" width="4.46484375" style="17" customWidth="1"/>
    <col min="8451" max="8451" width="26.73046875" style="17" customWidth="1"/>
    <col min="8452" max="8452" width="0.59765625" style="17" customWidth="1"/>
    <col min="8453" max="8478" width="9.73046875" style="17" customWidth="1"/>
    <col min="8479" max="8704" width="9.06640625" style="17"/>
    <col min="8705" max="8705" width="0" style="17" hidden="1" customWidth="1"/>
    <col min="8706" max="8706" width="4.46484375" style="17" customWidth="1"/>
    <col min="8707" max="8707" width="26.73046875" style="17" customWidth="1"/>
    <col min="8708" max="8708" width="0.59765625" style="17" customWidth="1"/>
    <col min="8709" max="8734" width="9.73046875" style="17" customWidth="1"/>
    <col min="8735" max="8960" width="9.06640625" style="17"/>
    <col min="8961" max="8961" width="0" style="17" hidden="1" customWidth="1"/>
    <col min="8962" max="8962" width="4.46484375" style="17" customWidth="1"/>
    <col min="8963" max="8963" width="26.73046875" style="17" customWidth="1"/>
    <col min="8964" max="8964" width="0.59765625" style="17" customWidth="1"/>
    <col min="8965" max="8990" width="9.73046875" style="17" customWidth="1"/>
    <col min="8991" max="9216" width="9.06640625" style="17"/>
    <col min="9217" max="9217" width="0" style="17" hidden="1" customWidth="1"/>
    <col min="9218" max="9218" width="4.46484375" style="17" customWidth="1"/>
    <col min="9219" max="9219" width="26.73046875" style="17" customWidth="1"/>
    <col min="9220" max="9220" width="0.59765625" style="17" customWidth="1"/>
    <col min="9221" max="9246" width="9.73046875" style="17" customWidth="1"/>
    <col min="9247" max="9472" width="9.06640625" style="17"/>
    <col min="9473" max="9473" width="0" style="17" hidden="1" customWidth="1"/>
    <col min="9474" max="9474" width="4.46484375" style="17" customWidth="1"/>
    <col min="9475" max="9475" width="26.73046875" style="17" customWidth="1"/>
    <col min="9476" max="9476" width="0.59765625" style="17" customWidth="1"/>
    <col min="9477" max="9502" width="9.73046875" style="17" customWidth="1"/>
    <col min="9503" max="9728" width="9.06640625" style="17"/>
    <col min="9729" max="9729" width="0" style="17" hidden="1" customWidth="1"/>
    <col min="9730" max="9730" width="4.46484375" style="17" customWidth="1"/>
    <col min="9731" max="9731" width="26.73046875" style="17" customWidth="1"/>
    <col min="9732" max="9732" width="0.59765625" style="17" customWidth="1"/>
    <col min="9733" max="9758" width="9.73046875" style="17" customWidth="1"/>
    <col min="9759" max="9984" width="9.06640625" style="17"/>
    <col min="9985" max="9985" width="0" style="17" hidden="1" customWidth="1"/>
    <col min="9986" max="9986" width="4.46484375" style="17" customWidth="1"/>
    <col min="9987" max="9987" width="26.73046875" style="17" customWidth="1"/>
    <col min="9988" max="9988" width="0.59765625" style="17" customWidth="1"/>
    <col min="9989" max="10014" width="9.73046875" style="17" customWidth="1"/>
    <col min="10015" max="10240" width="9.06640625" style="17"/>
    <col min="10241" max="10241" width="0" style="17" hidden="1" customWidth="1"/>
    <col min="10242" max="10242" width="4.46484375" style="17" customWidth="1"/>
    <col min="10243" max="10243" width="26.73046875" style="17" customWidth="1"/>
    <col min="10244" max="10244" width="0.59765625" style="17" customWidth="1"/>
    <col min="10245" max="10270" width="9.73046875" style="17" customWidth="1"/>
    <col min="10271" max="10496" width="9.06640625" style="17"/>
    <col min="10497" max="10497" width="0" style="17" hidden="1" customWidth="1"/>
    <col min="10498" max="10498" width="4.46484375" style="17" customWidth="1"/>
    <col min="10499" max="10499" width="26.73046875" style="17" customWidth="1"/>
    <col min="10500" max="10500" width="0.59765625" style="17" customWidth="1"/>
    <col min="10501" max="10526" width="9.73046875" style="17" customWidth="1"/>
    <col min="10527" max="10752" width="9.06640625" style="17"/>
    <col min="10753" max="10753" width="0" style="17" hidden="1" customWidth="1"/>
    <col min="10754" max="10754" width="4.46484375" style="17" customWidth="1"/>
    <col min="10755" max="10755" width="26.73046875" style="17" customWidth="1"/>
    <col min="10756" max="10756" width="0.59765625" style="17" customWidth="1"/>
    <col min="10757" max="10782" width="9.73046875" style="17" customWidth="1"/>
    <col min="10783" max="11008" width="9.06640625" style="17"/>
    <col min="11009" max="11009" width="0" style="17" hidden="1" customWidth="1"/>
    <col min="11010" max="11010" width="4.46484375" style="17" customWidth="1"/>
    <col min="11011" max="11011" width="26.73046875" style="17" customWidth="1"/>
    <col min="11012" max="11012" width="0.59765625" style="17" customWidth="1"/>
    <col min="11013" max="11038" width="9.73046875" style="17" customWidth="1"/>
    <col min="11039" max="11264" width="9.06640625" style="17"/>
    <col min="11265" max="11265" width="0" style="17" hidden="1" customWidth="1"/>
    <col min="11266" max="11266" width="4.46484375" style="17" customWidth="1"/>
    <col min="11267" max="11267" width="26.73046875" style="17" customWidth="1"/>
    <col min="11268" max="11268" width="0.59765625" style="17" customWidth="1"/>
    <col min="11269" max="11294" width="9.73046875" style="17" customWidth="1"/>
    <col min="11295" max="11520" width="9.06640625" style="17"/>
    <col min="11521" max="11521" width="0" style="17" hidden="1" customWidth="1"/>
    <col min="11522" max="11522" width="4.46484375" style="17" customWidth="1"/>
    <col min="11523" max="11523" width="26.73046875" style="17" customWidth="1"/>
    <col min="11524" max="11524" width="0.59765625" style="17" customWidth="1"/>
    <col min="11525" max="11550" width="9.73046875" style="17" customWidth="1"/>
    <col min="11551" max="11776" width="9.06640625" style="17"/>
    <col min="11777" max="11777" width="0" style="17" hidden="1" customWidth="1"/>
    <col min="11778" max="11778" width="4.46484375" style="17" customWidth="1"/>
    <col min="11779" max="11779" width="26.73046875" style="17" customWidth="1"/>
    <col min="11780" max="11780" width="0.59765625" style="17" customWidth="1"/>
    <col min="11781" max="11806" width="9.73046875" style="17" customWidth="1"/>
    <col min="11807" max="12032" width="9.06640625" style="17"/>
    <col min="12033" max="12033" width="0" style="17" hidden="1" customWidth="1"/>
    <col min="12034" max="12034" width="4.46484375" style="17" customWidth="1"/>
    <col min="12035" max="12035" width="26.73046875" style="17" customWidth="1"/>
    <col min="12036" max="12036" width="0.59765625" style="17" customWidth="1"/>
    <col min="12037" max="12062" width="9.73046875" style="17" customWidth="1"/>
    <col min="12063" max="12288" width="9.06640625" style="17"/>
    <col min="12289" max="12289" width="0" style="17" hidden="1" customWidth="1"/>
    <col min="12290" max="12290" width="4.46484375" style="17" customWidth="1"/>
    <col min="12291" max="12291" width="26.73046875" style="17" customWidth="1"/>
    <col min="12292" max="12292" width="0.59765625" style="17" customWidth="1"/>
    <col min="12293" max="12318" width="9.73046875" style="17" customWidth="1"/>
    <col min="12319" max="12544" width="9.06640625" style="17"/>
    <col min="12545" max="12545" width="0" style="17" hidden="1" customWidth="1"/>
    <col min="12546" max="12546" width="4.46484375" style="17" customWidth="1"/>
    <col min="12547" max="12547" width="26.73046875" style="17" customWidth="1"/>
    <col min="12548" max="12548" width="0.59765625" style="17" customWidth="1"/>
    <col min="12549" max="12574" width="9.73046875" style="17" customWidth="1"/>
    <col min="12575" max="12800" width="9.06640625" style="17"/>
    <col min="12801" max="12801" width="0" style="17" hidden="1" customWidth="1"/>
    <col min="12802" max="12802" width="4.46484375" style="17" customWidth="1"/>
    <col min="12803" max="12803" width="26.73046875" style="17" customWidth="1"/>
    <col min="12804" max="12804" width="0.59765625" style="17" customWidth="1"/>
    <col min="12805" max="12830" width="9.73046875" style="17" customWidth="1"/>
    <col min="12831" max="13056" width="9.06640625" style="17"/>
    <col min="13057" max="13057" width="0" style="17" hidden="1" customWidth="1"/>
    <col min="13058" max="13058" width="4.46484375" style="17" customWidth="1"/>
    <col min="13059" max="13059" width="26.73046875" style="17" customWidth="1"/>
    <col min="13060" max="13060" width="0.59765625" style="17" customWidth="1"/>
    <col min="13061" max="13086" width="9.73046875" style="17" customWidth="1"/>
    <col min="13087" max="13312" width="9.06640625" style="17"/>
    <col min="13313" max="13313" width="0" style="17" hidden="1" customWidth="1"/>
    <col min="13314" max="13314" width="4.46484375" style="17" customWidth="1"/>
    <col min="13315" max="13315" width="26.73046875" style="17" customWidth="1"/>
    <col min="13316" max="13316" width="0.59765625" style="17" customWidth="1"/>
    <col min="13317" max="13342" width="9.73046875" style="17" customWidth="1"/>
    <col min="13343" max="13568" width="9.06640625" style="17"/>
    <col min="13569" max="13569" width="0" style="17" hidden="1" customWidth="1"/>
    <col min="13570" max="13570" width="4.46484375" style="17" customWidth="1"/>
    <col min="13571" max="13571" width="26.73046875" style="17" customWidth="1"/>
    <col min="13572" max="13572" width="0.59765625" style="17" customWidth="1"/>
    <col min="13573" max="13598" width="9.73046875" style="17" customWidth="1"/>
    <col min="13599" max="13824" width="9.06640625" style="17"/>
    <col min="13825" max="13825" width="0" style="17" hidden="1" customWidth="1"/>
    <col min="13826" max="13826" width="4.46484375" style="17" customWidth="1"/>
    <col min="13827" max="13827" width="26.73046875" style="17" customWidth="1"/>
    <col min="13828" max="13828" width="0.59765625" style="17" customWidth="1"/>
    <col min="13829" max="13854" width="9.73046875" style="17" customWidth="1"/>
    <col min="13855" max="14080" width="9.06640625" style="17"/>
    <col min="14081" max="14081" width="0" style="17" hidden="1" customWidth="1"/>
    <col min="14082" max="14082" width="4.46484375" style="17" customWidth="1"/>
    <col min="14083" max="14083" width="26.73046875" style="17" customWidth="1"/>
    <col min="14084" max="14084" width="0.59765625" style="17" customWidth="1"/>
    <col min="14085" max="14110" width="9.73046875" style="17" customWidth="1"/>
    <col min="14111" max="14336" width="9.06640625" style="17"/>
    <col min="14337" max="14337" width="0" style="17" hidden="1" customWidth="1"/>
    <col min="14338" max="14338" width="4.46484375" style="17" customWidth="1"/>
    <col min="14339" max="14339" width="26.73046875" style="17" customWidth="1"/>
    <col min="14340" max="14340" width="0.59765625" style="17" customWidth="1"/>
    <col min="14341" max="14366" width="9.73046875" style="17" customWidth="1"/>
    <col min="14367" max="14592" width="9.06640625" style="17"/>
    <col min="14593" max="14593" width="0" style="17" hidden="1" customWidth="1"/>
    <col min="14594" max="14594" width="4.46484375" style="17" customWidth="1"/>
    <col min="14595" max="14595" width="26.73046875" style="17" customWidth="1"/>
    <col min="14596" max="14596" width="0.59765625" style="17" customWidth="1"/>
    <col min="14597" max="14622" width="9.73046875" style="17" customWidth="1"/>
    <col min="14623" max="14848" width="9.06640625" style="17"/>
    <col min="14849" max="14849" width="0" style="17" hidden="1" customWidth="1"/>
    <col min="14850" max="14850" width="4.46484375" style="17" customWidth="1"/>
    <col min="14851" max="14851" width="26.73046875" style="17" customWidth="1"/>
    <col min="14852" max="14852" width="0.59765625" style="17" customWidth="1"/>
    <col min="14853" max="14878" width="9.73046875" style="17" customWidth="1"/>
    <col min="14879" max="15104" width="9.06640625" style="17"/>
    <col min="15105" max="15105" width="0" style="17" hidden="1" customWidth="1"/>
    <col min="15106" max="15106" width="4.46484375" style="17" customWidth="1"/>
    <col min="15107" max="15107" width="26.73046875" style="17" customWidth="1"/>
    <col min="15108" max="15108" width="0.59765625" style="17" customWidth="1"/>
    <col min="15109" max="15134" width="9.73046875" style="17" customWidth="1"/>
    <col min="15135" max="15360" width="9.06640625" style="17"/>
    <col min="15361" max="15361" width="0" style="17" hidden="1" customWidth="1"/>
    <col min="15362" max="15362" width="4.46484375" style="17" customWidth="1"/>
    <col min="15363" max="15363" width="26.73046875" style="17" customWidth="1"/>
    <col min="15364" max="15364" width="0.59765625" style="17" customWidth="1"/>
    <col min="15365" max="15390" width="9.73046875" style="17" customWidth="1"/>
    <col min="15391" max="15616" width="9.06640625" style="17"/>
    <col min="15617" max="15617" width="0" style="17" hidden="1" customWidth="1"/>
    <col min="15618" max="15618" width="4.46484375" style="17" customWidth="1"/>
    <col min="15619" max="15619" width="26.73046875" style="17" customWidth="1"/>
    <col min="15620" max="15620" width="0.59765625" style="17" customWidth="1"/>
    <col min="15621" max="15646" width="9.73046875" style="17" customWidth="1"/>
    <col min="15647" max="15872" width="9.06640625" style="17"/>
    <col min="15873" max="15873" width="0" style="17" hidden="1" customWidth="1"/>
    <col min="15874" max="15874" width="4.46484375" style="17" customWidth="1"/>
    <col min="15875" max="15875" width="26.73046875" style="17" customWidth="1"/>
    <col min="15876" max="15876" width="0.59765625" style="17" customWidth="1"/>
    <col min="15877" max="15902" width="9.73046875" style="17" customWidth="1"/>
    <col min="15903" max="16128" width="9.06640625" style="17"/>
    <col min="16129" max="16129" width="0" style="17" hidden="1" customWidth="1"/>
    <col min="16130" max="16130" width="4.46484375" style="17" customWidth="1"/>
    <col min="16131" max="16131" width="26.73046875" style="17" customWidth="1"/>
    <col min="16132" max="16132" width="0.59765625" style="17" customWidth="1"/>
    <col min="16133" max="16158" width="9.73046875" style="17" customWidth="1"/>
    <col min="16159" max="16384" width="9.06640625" style="17"/>
  </cols>
  <sheetData>
    <row r="1" spans="1:48" s="2" customFormat="1" ht="13.5" x14ac:dyDescent="0.4">
      <c r="A1" s="1" t="s">
        <v>0</v>
      </c>
      <c r="C1" s="3" t="s">
        <v>1</v>
      </c>
      <c r="D1" s="4"/>
    </row>
    <row r="2" spans="1:48" s="2" customFormat="1" ht="13.5" x14ac:dyDescent="0.4">
      <c r="A2" s="1" t="s">
        <v>2</v>
      </c>
      <c r="C2" s="3" t="s">
        <v>3</v>
      </c>
      <c r="D2" s="4"/>
    </row>
    <row r="3" spans="1:48" s="2" customFormat="1" ht="13.15" x14ac:dyDescent="0.4">
      <c r="A3" s="1" t="s">
        <v>4</v>
      </c>
      <c r="C3" s="4" t="s">
        <v>5</v>
      </c>
      <c r="D3" s="4"/>
    </row>
    <row r="4" spans="1:48" s="2" customFormat="1" ht="13.15" hidden="1" x14ac:dyDescent="0.4">
      <c r="B4" s="1"/>
      <c r="C4" s="5"/>
      <c r="D4" s="4"/>
    </row>
    <row r="5" spans="1:48" s="2" customFormat="1" ht="13.5" hidden="1" x14ac:dyDescent="0.4">
      <c r="B5" s="1"/>
      <c r="C5" s="6"/>
      <c r="D5" s="4"/>
    </row>
    <row r="6" spans="1:48" s="10" customFormat="1" ht="13.15" x14ac:dyDescent="0.4">
      <c r="A6" s="7"/>
      <c r="B6" s="8"/>
      <c r="C6" s="9" t="str">
        <f>[2]!to_tradecode(C1)</f>
        <v>601398</v>
      </c>
      <c r="E6" s="11">
        <v>39082</v>
      </c>
      <c r="F6" s="11">
        <v>39172</v>
      </c>
      <c r="G6" s="11">
        <v>39263</v>
      </c>
      <c r="H6" s="11">
        <v>39355</v>
      </c>
      <c r="I6" s="11">
        <v>39447</v>
      </c>
      <c r="J6" s="11">
        <v>39538</v>
      </c>
      <c r="K6" s="11">
        <v>39629</v>
      </c>
      <c r="L6" s="11">
        <v>39721</v>
      </c>
      <c r="M6" s="11">
        <v>39813</v>
      </c>
      <c r="N6" s="11">
        <v>39903</v>
      </c>
      <c r="O6" s="11">
        <v>39994</v>
      </c>
      <c r="P6" s="11">
        <v>40086</v>
      </c>
      <c r="Q6" s="11">
        <v>40178</v>
      </c>
      <c r="R6" s="11">
        <v>40268</v>
      </c>
      <c r="S6" s="11">
        <v>40359</v>
      </c>
      <c r="T6" s="11">
        <v>40451</v>
      </c>
      <c r="U6" s="11">
        <v>40543</v>
      </c>
      <c r="V6" s="11">
        <v>40633</v>
      </c>
      <c r="W6" s="11">
        <v>40724</v>
      </c>
      <c r="X6" s="11">
        <v>40816</v>
      </c>
      <c r="Y6" s="11">
        <v>40908</v>
      </c>
      <c r="Z6" s="11">
        <v>40999</v>
      </c>
      <c r="AA6" s="11">
        <v>41090</v>
      </c>
      <c r="AB6" s="11">
        <v>41182</v>
      </c>
      <c r="AC6" s="11">
        <v>41274</v>
      </c>
      <c r="AD6" s="11">
        <v>41364</v>
      </c>
      <c r="AE6" s="11">
        <v>41455</v>
      </c>
      <c r="AF6" s="11">
        <v>41547</v>
      </c>
      <c r="AG6" s="11">
        <v>41639</v>
      </c>
      <c r="AH6" s="11">
        <v>41729</v>
      </c>
      <c r="AI6" s="11">
        <v>41820</v>
      </c>
      <c r="AJ6" s="11">
        <v>41912</v>
      </c>
      <c r="AK6" s="11">
        <v>42004</v>
      </c>
      <c r="AL6" s="11">
        <v>42094</v>
      </c>
      <c r="AM6" s="11">
        <v>42185</v>
      </c>
      <c r="AN6" s="11">
        <v>42277</v>
      </c>
      <c r="AO6" s="11">
        <v>42369</v>
      </c>
      <c r="AP6" s="11">
        <v>42460</v>
      </c>
      <c r="AQ6" s="11">
        <v>42551</v>
      </c>
      <c r="AR6" s="11">
        <v>42643</v>
      </c>
      <c r="AS6" s="11">
        <v>42735</v>
      </c>
      <c r="AT6" s="11">
        <v>42825</v>
      </c>
    </row>
    <row r="7" spans="1:48" s="12" customFormat="1" ht="2.25" customHeight="1" x14ac:dyDescent="0.4">
      <c r="B7" s="13"/>
      <c r="C7" s="14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</row>
    <row r="8" spans="1:48" s="12" customFormat="1" ht="13.5" x14ac:dyDescent="0.4">
      <c r="B8" s="16" t="s">
        <v>6</v>
      </c>
      <c r="C8" s="14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</row>
    <row r="9" spans="1:48" ht="13.9" thickBot="1" x14ac:dyDescent="0.45">
      <c r="C9" s="18" t="s">
        <v>7</v>
      </c>
      <c r="E9" s="19">
        <v>2006</v>
      </c>
      <c r="F9" s="19" t="s">
        <v>8</v>
      </c>
      <c r="G9" s="19" t="s">
        <v>9</v>
      </c>
      <c r="H9" s="19" t="s">
        <v>10</v>
      </c>
      <c r="I9" s="19">
        <v>2007</v>
      </c>
      <c r="J9" s="19" t="s">
        <v>11</v>
      </c>
      <c r="K9" s="19" t="s">
        <v>12</v>
      </c>
      <c r="L9" s="19" t="s">
        <v>13</v>
      </c>
      <c r="M9" s="19">
        <v>2008</v>
      </c>
      <c r="N9" s="19" t="s">
        <v>14</v>
      </c>
      <c r="O9" s="19" t="s">
        <v>15</v>
      </c>
      <c r="P9" s="19" t="s">
        <v>16</v>
      </c>
      <c r="Q9" s="19">
        <v>2009</v>
      </c>
      <c r="R9" s="19" t="s">
        <v>17</v>
      </c>
      <c r="S9" s="19" t="s">
        <v>18</v>
      </c>
      <c r="T9" s="19" t="s">
        <v>19</v>
      </c>
      <c r="U9" s="19">
        <v>2010</v>
      </c>
      <c r="V9" s="19" t="s">
        <v>20</v>
      </c>
      <c r="W9" s="19" t="s">
        <v>21</v>
      </c>
      <c r="X9" s="19" t="s">
        <v>22</v>
      </c>
      <c r="Y9" s="19">
        <v>2011</v>
      </c>
      <c r="Z9" s="19" t="s">
        <v>23</v>
      </c>
      <c r="AA9" s="19" t="s">
        <v>24</v>
      </c>
      <c r="AB9" s="19" t="s">
        <v>25</v>
      </c>
      <c r="AC9" s="19">
        <v>2012</v>
      </c>
      <c r="AD9" s="19" t="s">
        <v>26</v>
      </c>
      <c r="AE9" s="19" t="s">
        <v>27</v>
      </c>
      <c r="AF9" s="19" t="s">
        <v>28</v>
      </c>
      <c r="AG9" s="19">
        <v>2013</v>
      </c>
      <c r="AH9" s="19" t="s">
        <v>29</v>
      </c>
      <c r="AI9" s="19" t="s">
        <v>30</v>
      </c>
      <c r="AJ9" s="19" t="s">
        <v>31</v>
      </c>
      <c r="AK9" s="19">
        <v>2014</v>
      </c>
      <c r="AL9" s="19" t="s">
        <v>32</v>
      </c>
      <c r="AM9" s="19" t="s">
        <v>33</v>
      </c>
      <c r="AN9" s="19" t="s">
        <v>34</v>
      </c>
      <c r="AO9" s="19">
        <v>2015</v>
      </c>
      <c r="AP9" s="19" t="s">
        <v>35</v>
      </c>
      <c r="AQ9" s="19" t="s">
        <v>36</v>
      </c>
      <c r="AR9" s="19" t="s">
        <v>37</v>
      </c>
      <c r="AS9" s="20">
        <v>2016</v>
      </c>
      <c r="AT9" s="21" t="s">
        <v>38</v>
      </c>
    </row>
    <row r="10" spans="1:48" x14ac:dyDescent="0.35">
      <c r="C10" s="22" t="s">
        <v>39</v>
      </c>
      <c r="E10" s="23">
        <f>[2]!s_stm07_bs($C$6,"W66934046",E6,1,1000000)</f>
        <v>703657</v>
      </c>
      <c r="F10" s="23">
        <f>[2]!s_stm07_bs($C$6,"W66934046",F6,1,1000000)</f>
        <v>787776</v>
      </c>
      <c r="G10" s="23">
        <f>[2]!s_stm07_bs($C$6,"W66934046",G6,1,1000000)</f>
        <v>923522</v>
      </c>
      <c r="H10" s="23">
        <f>[2]!s_stm07_bs($C$6,"W66934046",H6,1,1000000)</f>
        <v>1013306</v>
      </c>
      <c r="I10" s="23">
        <f>[2]!s_stm07_bs($C$6,"W66934046",I6,1,1000000)</f>
        <v>1142346</v>
      </c>
      <c r="J10" s="23">
        <f>[2]!s_stm07_bs($C$6,"W66934046",J6,1,1000000)</f>
        <v>1262206</v>
      </c>
      <c r="K10" s="23">
        <f>[2]!s_stm07_bs($C$6,"W66934046",K6,1,1000000)</f>
        <v>1484522</v>
      </c>
      <c r="L10" s="23">
        <f>[2]!s_stm07_bs($C$6,"W66934046",L6,1,1000000)</f>
        <v>1548019</v>
      </c>
      <c r="M10" s="23">
        <f>[2]!s_stm07_bs($C$6,"W66934046",M6,1,1000000)</f>
        <v>1693024</v>
      </c>
      <c r="N10" s="23">
        <f>[2]!s_stm07_bs($C$6,"W66934046",N6,1,1000000)</f>
        <v>1684779</v>
      </c>
      <c r="O10" s="23">
        <f>[2]!s_stm07_bs($C$6,"W66934046",O6,1,1000000)</f>
        <v>1648941</v>
      </c>
      <c r="P10" s="23">
        <f>[2]!s_stm07_bs($C$6,"W66934046",P6,1,1000000)</f>
        <v>1777512</v>
      </c>
      <c r="Q10" s="23">
        <f>[2]!s_stm07_bs($C$6,"W66934046",Q6,1,1000000)</f>
        <v>1693048</v>
      </c>
      <c r="R10" s="23">
        <f>[2]!s_stm07_bs($C$6,"W66934046",R6,1,1000000)</f>
        <v>2017335</v>
      </c>
      <c r="S10" s="23">
        <f>[2]!s_stm07_bs($C$6,"W66934046",S6,1,1000000)</f>
        <v>2111745</v>
      </c>
      <c r="T10" s="23">
        <f>[2]!s_stm07_bs($C$6,"W66934046",T6,1,1000000)</f>
        <v>2266208</v>
      </c>
      <c r="U10" s="23">
        <f>[2]!s_stm07_bs($C$6,"W66934046",U6,1,1000000)</f>
        <v>2282999</v>
      </c>
      <c r="V10" s="23">
        <f>[2]!s_stm07_bs($C$6,"W66934046",V6,1,1000000)</f>
        <v>2628712</v>
      </c>
      <c r="W10" s="23">
        <f>[2]!s_stm07_bs($C$6,"W66934046",W6,1,1000000)</f>
        <v>2845902</v>
      </c>
      <c r="X10" s="23">
        <f>[2]!s_stm07_bs($C$6,"W66934046",X6,1,1000000)</f>
        <v>2916591</v>
      </c>
      <c r="Y10" s="23">
        <f>[2]!s_stm07_bs($C$6,"W66934046",Y6,1,1000000)</f>
        <v>2762156</v>
      </c>
      <c r="Z10" s="23">
        <f>[2]!s_stm07_bs($C$6,"W66934046",Z6,1,1000000)</f>
        <v>2889096</v>
      </c>
      <c r="AA10" s="23">
        <f>[2]!s_stm07_bs($C$6,"W66934046",AA6,1,1000000)</f>
        <v>3028038</v>
      </c>
      <c r="AB10" s="23">
        <f>[2]!s_stm07_bs($C$6,"W66934046",AB6,1,1000000)</f>
        <v>3150519</v>
      </c>
      <c r="AC10" s="23">
        <f>[2]!s_stm07_bs($C$6,"W66934046",AC6,1,1000000)</f>
        <v>3174943</v>
      </c>
      <c r="AD10" s="23">
        <f>[2]!s_stm07_bs($C$6,"W66934046",AD6,1,1000000)</f>
        <v>3220108</v>
      </c>
      <c r="AE10" s="23">
        <f>[2]!s_stm07_bs($C$6,"W66934046",AE6,1,1000000)</f>
        <v>3300991</v>
      </c>
      <c r="AF10" s="23">
        <f>[2]!s_stm07_bs($C$6,"W66934046",AF6,1,1000000)</f>
        <v>3360532</v>
      </c>
      <c r="AG10" s="23">
        <f>[2]!s_stm07_bs($C$6,"W66934046",AG6,1,1000000)</f>
        <v>3294007</v>
      </c>
      <c r="AH10" s="23">
        <f>[2]!s_stm07_bs($C$6,"W66934046",AH6,1,1000000)</f>
        <v>3525830</v>
      </c>
      <c r="AI10" s="23">
        <f>[2]!s_stm07_bs($C$6,"W66934046",AI6,1,1000000)</f>
        <v>3607404</v>
      </c>
      <c r="AJ10" s="23">
        <f>[2]!s_stm07_bs($C$6,"W66934046",AJ6,1,1000000)</f>
        <v>3472425</v>
      </c>
      <c r="AK10" s="23">
        <f>[2]!s_stm07_bs($C$6,"W66934046",AK6,1,1000000)</f>
        <v>3523622</v>
      </c>
      <c r="AL10" s="23">
        <f>[2]!s_stm07_bs($C$6,"W66934046",AL6,1,1000000)</f>
        <v>3537667</v>
      </c>
      <c r="AM10" s="23">
        <f>[2]!s_stm07_bs($C$6,"W66934046",AM6,1,1000000)</f>
        <v>3615260</v>
      </c>
      <c r="AN10" s="23">
        <f>[2]!s_stm07_bs($C$6,"W66934046",AN6,1,1000000)</f>
        <v>3273308</v>
      </c>
      <c r="AO10" s="23">
        <f>[2]!s_stm07_bs($C$6,"W66934046",AO6,1,1000000)</f>
        <v>3059633</v>
      </c>
      <c r="AP10" s="23">
        <f>[2]!s_stm07_bs($C$6,"W66934046",AP6,1,1000000)</f>
        <v>3323225</v>
      </c>
      <c r="AQ10" s="23">
        <f>[2]!s_stm07_bs($C$6,"W66934046",AQ6,1,1000000)</f>
        <v>3331693</v>
      </c>
      <c r="AR10" s="23">
        <f>[2]!s_stm07_bs($C$6,"W66934046",AR6,1,1000000)</f>
        <v>3302564</v>
      </c>
      <c r="AS10" s="23">
        <f>[2]!s_stm07_bs($C$6,"W66934046",AS6,1,1000000)</f>
        <v>3350788</v>
      </c>
      <c r="AT10" s="23">
        <f>[2]!s_stm07_bs($C$6,"W66934046",AT6,1,1000000)</f>
        <v>3437830</v>
      </c>
      <c r="AU10" s="24">
        <f>AT10-AS10</f>
        <v>87042</v>
      </c>
      <c r="AV10" s="25">
        <f>AU10/34562</f>
        <v>2.5184306463746311</v>
      </c>
    </row>
    <row r="11" spans="1:48" ht="13.15" x14ac:dyDescent="0.35">
      <c r="C11" s="26" t="s">
        <v>40</v>
      </c>
      <c r="E11" s="23">
        <f>[2]!s_stm07_bs($C$6,"W49786054",E6,1,1000000)</f>
        <v>15637</v>
      </c>
      <c r="F11" s="23">
        <f>[2]!s_stm07_bs($C$6,"W49786054",F6,1,1000000)</f>
        <v>15662</v>
      </c>
      <c r="G11" s="23">
        <f>[2]!s_stm07_bs($C$6,"W49786054",G6,1,1000000)</f>
        <v>21485</v>
      </c>
      <c r="H11" s="23">
        <f>[2]!s_stm07_bs($C$6,"W49786054",H6,1,1000000)</f>
        <v>28629</v>
      </c>
      <c r="I11" s="23">
        <f>[2]!s_stm07_bs($C$6,"W49786054",I6,1,1000000)</f>
        <v>29406</v>
      </c>
      <c r="J11" s="23">
        <f>[2]!s_stm07_bs($C$6,"W49786054",J6,1,1000000)</f>
        <v>30122</v>
      </c>
      <c r="K11" s="23">
        <f>[2]!s_stm07_bs($C$6,"W49786054",K6,1,1000000)</f>
        <v>37151</v>
      </c>
      <c r="L11" s="23">
        <f>[2]!s_stm07_bs($C$6,"W49786054",L6,1,1000000)</f>
        <v>43979</v>
      </c>
      <c r="M11" s="23">
        <f>[2]!s_stm07_bs($C$6,"W49786054",M6,1,1000000)</f>
        <v>41571</v>
      </c>
      <c r="N11" s="23">
        <f>[2]!s_stm07_bs($C$6,"W49786054",N6,1,1000000)</f>
        <v>35008</v>
      </c>
      <c r="O11" s="23">
        <f>[2]!s_stm07_bs($C$6,"W49786054",O6,1,1000000)</f>
        <v>88574</v>
      </c>
      <c r="P11" s="23">
        <f>[2]!s_stm07_bs($C$6,"W49786054",P6,1,1000000)</f>
        <v>141481</v>
      </c>
      <c r="Q11" s="23">
        <f>[2]!s_stm07_bs($C$6,"W49786054",Q6,1,1000000)</f>
        <v>157395</v>
      </c>
      <c r="R11" s="23">
        <f>[2]!s_stm07_bs($C$6,"W49786054",R6,1,1000000)</f>
        <v>268896</v>
      </c>
      <c r="S11" s="23">
        <f>[2]!s_stm07_bs($C$6,"W49786054",S6,1,1000000)</f>
        <v>177731</v>
      </c>
      <c r="T11" s="23">
        <f>[2]!s_stm07_bs($C$6,"W49786054",T6,1,1000000)</f>
        <v>207984</v>
      </c>
      <c r="U11" s="23">
        <f>[2]!s_stm07_bs($C$6,"W49786054",U6,1,1000000)</f>
        <v>183942</v>
      </c>
      <c r="V11" s="23">
        <f>[2]!s_stm07_bs($C$6,"W49786054",V6,1,1000000)</f>
        <v>297343</v>
      </c>
      <c r="W11" s="23">
        <f>[2]!s_stm07_bs($C$6,"W49786054",W6,1,1000000)</f>
        <v>338904</v>
      </c>
      <c r="X11" s="23">
        <f>[2]!s_stm07_bs($C$6,"W49786054",X6,1,1000000)</f>
        <v>180438</v>
      </c>
      <c r="Y11" s="23">
        <f>[2]!s_stm07_bs($C$6,"W49786054",Y6,1,1000000)</f>
        <v>317486</v>
      </c>
      <c r="Z11" s="23">
        <f>[2]!s_stm07_bs($C$6,"W49786054",Z6,1,1000000)</f>
        <v>504917</v>
      </c>
      <c r="AA11" s="23">
        <f>[2]!s_stm07_bs($C$6,"W49786054",AA6,1,1000000)</f>
        <v>633014</v>
      </c>
      <c r="AB11" s="23">
        <f>[2]!s_stm07_bs($C$6,"W49786054",AB6,1,1000000)</f>
        <v>539533</v>
      </c>
      <c r="AC11" s="23">
        <f>[2]!s_stm07_bs($C$6,"W49786054",AC6,1,1000000)</f>
        <v>411937</v>
      </c>
      <c r="AD11" s="23">
        <f>[2]!s_stm07_bs($C$6,"W49786054",AD6,1,1000000)</f>
        <v>448968</v>
      </c>
      <c r="AE11" s="23">
        <f>[2]!s_stm07_bs($C$6,"W49786054",AE6,1,1000000)</f>
        <v>303064</v>
      </c>
      <c r="AF11" s="23">
        <f>[2]!s_stm07_bs($C$6,"W49786054",AF6,1,1000000)</f>
        <v>304306</v>
      </c>
      <c r="AG11" s="23">
        <f>[2]!s_stm07_bs($C$6,"W49786054",AG6,1,1000000)</f>
        <v>306366</v>
      </c>
      <c r="AH11" s="23">
        <f>[2]!s_stm07_bs($C$6,"W49786054",AH6,1,1000000)</f>
        <v>253320</v>
      </c>
      <c r="AI11" s="23">
        <f>[2]!s_stm07_bs($C$6,"W49786054",AI6,1,1000000)</f>
        <v>229789</v>
      </c>
      <c r="AJ11" s="23">
        <f>[2]!s_stm07_bs($C$6,"W49786054",AJ6,1,1000000)</f>
        <v>333477</v>
      </c>
      <c r="AK11" s="23">
        <f>[2]!s_stm07_bs($C$6,"W49786054",AK6,1,1000000)</f>
        <v>304273</v>
      </c>
      <c r="AL11" s="23">
        <f>[2]!s_stm07_bs($C$6,"W49786054",AL6,1,1000000)</f>
        <v>259471</v>
      </c>
      <c r="AM11" s="23">
        <f>[2]!s_stm07_bs($C$6,"W49786054",AM6,1,1000000)</f>
        <v>280370</v>
      </c>
      <c r="AN11" s="23">
        <f>[2]!s_stm07_bs($C$6,"W49786054",AN6,1,1000000)</f>
        <v>230745</v>
      </c>
      <c r="AO11" s="23">
        <f>[2]!s_stm07_bs($C$6,"W49786054",AO6,1,1000000)</f>
        <v>211559</v>
      </c>
      <c r="AP11" s="23">
        <f>[2]!s_stm07_bs($C$6,"W49786054",AP6,1,1000000)</f>
        <v>182270</v>
      </c>
      <c r="AQ11" s="23">
        <f>[2]!s_stm07_bs($C$6,"W49786054",AQ6,1,1000000)</f>
        <v>188286</v>
      </c>
      <c r="AR11" s="23">
        <f>[2]!s_stm07_bs($C$6,"W49786054",AR6,1,1000000)</f>
        <v>244634</v>
      </c>
      <c r="AS11" s="23">
        <f>[2]!s_stm07_bs($C$6,"W49786054",AS6,1,1000000)</f>
        <v>270058</v>
      </c>
      <c r="AT11" s="23">
        <f>[2]!s_stm07_bs($C$6,"W49786054",AT6,1,1000000)</f>
        <v>440890</v>
      </c>
      <c r="AU11" s="24">
        <f t="shared" ref="AU11:AU38" si="0">AT11-AS11</f>
        <v>170832</v>
      </c>
      <c r="AV11" s="25">
        <f t="shared" ref="AV11:AV29" si="1">AU11/34562</f>
        <v>4.9427695156530289</v>
      </c>
    </row>
    <row r="12" spans="1:48" ht="13.15" x14ac:dyDescent="0.35">
      <c r="C12" s="26" t="s">
        <v>41</v>
      </c>
      <c r="E12" s="23">
        <f>[2]!s_stm07_bs($C$6,"W45840830",E6,1,1000000)</f>
        <v>0</v>
      </c>
      <c r="F12" s="23">
        <f>[2]!s_stm07_bs($C$6,"W45840830",F6,1,1000000)</f>
        <v>0</v>
      </c>
      <c r="G12" s="23">
        <f>[2]!s_stm07_bs($C$6,"W45840830",G6,1,1000000)</f>
        <v>0</v>
      </c>
      <c r="H12" s="23">
        <f>[2]!s_stm07_bs($C$6,"W45840830",H6,1,1000000)</f>
        <v>0</v>
      </c>
      <c r="I12" s="23">
        <f>[2]!s_stm07_bs($C$6,"W45840830",I6,1,1000000)</f>
        <v>0</v>
      </c>
      <c r="J12" s="23">
        <f>[2]!s_stm07_bs($C$6,"W45840830",J6,1,1000000)</f>
        <v>0</v>
      </c>
      <c r="K12" s="23">
        <f>[2]!s_stm07_bs($C$6,"W45840830",K6,1,1000000)</f>
        <v>2924</v>
      </c>
      <c r="L12" s="23">
        <f>[2]!s_stm07_bs($C$6,"W45840830",L6,1,1000000)</f>
        <v>2542</v>
      </c>
      <c r="M12" s="23">
        <f>[2]!s_stm07_bs($C$6,"W45840830",M6,1,1000000)</f>
        <v>2819</v>
      </c>
      <c r="N12" s="23">
        <f>[2]!s_stm07_bs($C$6,"W45840830",N6,1,1000000)</f>
        <v>2953</v>
      </c>
      <c r="O12" s="23">
        <f>[2]!s_stm07_bs($C$6,"W45840830",O6,1,1000000)</f>
        <v>2723</v>
      </c>
      <c r="P12" s="23">
        <f>[2]!s_stm07_bs($C$6,"W45840830",P6,1,1000000)</f>
        <v>2662</v>
      </c>
      <c r="Q12" s="23">
        <f>[2]!s_stm07_bs($C$6,"W45840830",Q6,1,1000000)</f>
        <v>2699</v>
      </c>
      <c r="R12" s="23">
        <f>[2]!s_stm07_bs($C$6,"W45840830",R6,1,1000000)</f>
        <v>5203</v>
      </c>
      <c r="S12" s="23">
        <f>[2]!s_stm07_bs($C$6,"W45840830",S6,1,1000000)</f>
        <v>6226</v>
      </c>
      <c r="T12" s="23">
        <f>[2]!s_stm07_bs($C$6,"W45840830",T6,1,1000000)</f>
        <v>6711</v>
      </c>
      <c r="U12" s="23">
        <f>[2]!s_stm07_bs($C$6,"W45840830",U6,1,1000000)</f>
        <v>10226</v>
      </c>
      <c r="V12" s="23">
        <f>[2]!s_stm07_bs($C$6,"W45840830",V6,1,1000000)</f>
        <v>13461</v>
      </c>
      <c r="W12" s="23">
        <f>[2]!s_stm07_bs($C$6,"W45840830",W6,1,1000000)</f>
        <v>17927</v>
      </c>
      <c r="X12" s="23">
        <f>[2]!s_stm07_bs($C$6,"W45840830",X6,1,1000000)</f>
        <v>24912</v>
      </c>
      <c r="Y12" s="23">
        <f>[2]!s_stm07_bs($C$6,"W45840830",Y6,1,1000000)</f>
        <v>38971</v>
      </c>
      <c r="Z12" s="23">
        <f>[2]!s_stm07_bs($C$6,"W45840830",Z6,1,1000000)</f>
        <v>38379</v>
      </c>
      <c r="AA12" s="23">
        <f>[2]!s_stm07_bs($C$6,"W45840830",AA6,1,1000000)</f>
        <v>34780</v>
      </c>
      <c r="AB12" s="23">
        <f>[2]!s_stm07_bs($C$6,"W45840830",AB6,1,1000000)</f>
        <v>39171</v>
      </c>
      <c r="AC12" s="23">
        <f>[2]!s_stm07_bs($C$6,"W45840830",AC6,1,1000000)</f>
        <v>55358</v>
      </c>
      <c r="AD12" s="23">
        <f>[2]!s_stm07_bs($C$6,"W45840830",AD6,1,1000000)</f>
        <v>44049</v>
      </c>
      <c r="AE12" s="23">
        <f>[2]!s_stm07_bs($C$6,"W45840830",AE6,1,1000000)</f>
        <v>38532</v>
      </c>
      <c r="AF12" s="23">
        <f>[2]!s_stm07_bs($C$6,"W45840830",AF6,1,1000000)</f>
        <v>50752</v>
      </c>
      <c r="AG12" s="23">
        <f>[2]!s_stm07_bs($C$6,"W45840830",AG6,1,1000000)</f>
        <v>61821</v>
      </c>
      <c r="AH12" s="23">
        <f>[2]!s_stm07_bs($C$6,"W45840830",AH6,1,1000000)</f>
        <v>81946</v>
      </c>
      <c r="AI12" s="23">
        <f>[2]!s_stm07_bs($C$6,"W45840830",AI6,1,1000000)</f>
        <v>90911</v>
      </c>
      <c r="AJ12" s="23">
        <f>[2]!s_stm07_bs($C$6,"W45840830",AJ6,1,1000000)</f>
        <v>82717</v>
      </c>
      <c r="AK12" s="23">
        <f>[2]!s_stm07_bs($C$6,"W45840830",AK6,1,1000000)</f>
        <v>95950</v>
      </c>
      <c r="AL12" s="23">
        <f>[2]!s_stm07_bs($C$6,"W45840830",AL6,1,1000000)</f>
        <v>116166</v>
      </c>
      <c r="AM12" s="23">
        <f>[2]!s_stm07_bs($C$6,"W45840830",AM6,1,1000000)</f>
        <v>115198</v>
      </c>
      <c r="AN12" s="23">
        <f>[2]!s_stm07_bs($C$6,"W45840830",AN6,1,1000000)</f>
        <v>114584</v>
      </c>
      <c r="AO12" s="23">
        <f>[2]!s_stm07_bs($C$6,"W45840830",AO6,1,1000000)</f>
        <v>114619</v>
      </c>
      <c r="AP12" s="23">
        <f>[2]!s_stm07_bs($C$6,"W45840830",AP6,1,1000000)</f>
        <v>150156</v>
      </c>
      <c r="AQ12" s="23">
        <f>[2]!s_stm07_bs($C$6,"W45840830",AQ6,1,1000000)</f>
        <v>193530</v>
      </c>
      <c r="AR12" s="23">
        <f>[2]!s_stm07_bs($C$6,"W45840830",AR6,1,1000000)</f>
        <v>209094</v>
      </c>
      <c r="AS12" s="23">
        <f>[2]!s_stm07_bs($C$6,"W45840830",AS6,1,1000000)</f>
        <v>220091</v>
      </c>
      <c r="AT12" s="23">
        <f>[2]!s_stm07_bs($C$6,"W45840830",AT6,1,1000000)</f>
        <v>204805</v>
      </c>
      <c r="AU12" s="24">
        <f t="shared" si="0"/>
        <v>-15286</v>
      </c>
      <c r="AV12" s="25">
        <f t="shared" si="1"/>
        <v>-0.44227764596956193</v>
      </c>
    </row>
    <row r="13" spans="1:48" ht="13.15" x14ac:dyDescent="0.35">
      <c r="C13" s="26" t="s">
        <v>42</v>
      </c>
      <c r="E13" s="23">
        <f>[2]!s_stm07_bs($C$6,"W43801822",E6,1,1000000)</f>
        <v>190869</v>
      </c>
      <c r="F13" s="23">
        <f>[2]!s_stm07_bs($C$6,"W43801822",F6,1,1000000)</f>
        <v>123125</v>
      </c>
      <c r="G13" s="23">
        <f>[2]!s_stm07_bs($C$6,"W43801822",G6,1,1000000)</f>
        <v>163813</v>
      </c>
      <c r="H13" s="23">
        <f>[2]!s_stm07_bs($C$6,"W43801822",H6,1,1000000)</f>
        <v>212282</v>
      </c>
      <c r="I13" s="23">
        <f>[2]!s_stm07_bs($C$6,"W43801822",I6,1,1000000)</f>
        <v>170352</v>
      </c>
      <c r="J13" s="23">
        <f>[2]!s_stm07_bs($C$6,"W43801822",J6,1,1000000)</f>
        <v>145998</v>
      </c>
      <c r="K13" s="23">
        <f>[2]!s_stm07_bs($C$6,"W43801822",K6,1,1000000)</f>
        <v>127487</v>
      </c>
      <c r="L13" s="23">
        <f>[2]!s_stm07_bs($C$6,"W43801822",L6,1,1000000)</f>
        <v>164162</v>
      </c>
      <c r="M13" s="23">
        <f>[2]!s_stm07_bs($C$6,"W43801822",M6,1,1000000)</f>
        <v>126792</v>
      </c>
      <c r="N13" s="23">
        <f>[2]!s_stm07_bs($C$6,"W43801822",N6,1,1000000)</f>
        <v>151416</v>
      </c>
      <c r="O13" s="23">
        <f>[2]!s_stm07_bs($C$6,"W43801822",O6,1,1000000)</f>
        <v>88298</v>
      </c>
      <c r="P13" s="23">
        <f>[2]!s_stm07_bs($C$6,"W43801822",P6,1,1000000)</f>
        <v>114737</v>
      </c>
      <c r="Q13" s="23">
        <f>[2]!s_stm07_bs($C$6,"W43801822",Q6,1,1000000)</f>
        <v>77906</v>
      </c>
      <c r="R13" s="23">
        <f>[2]!s_stm07_bs($C$6,"W43801822",R6,1,1000000)</f>
        <v>103561</v>
      </c>
      <c r="S13" s="23">
        <f>[2]!s_stm07_bs($C$6,"W43801822",S6,1,1000000)</f>
        <v>171532</v>
      </c>
      <c r="T13" s="23">
        <f>[2]!s_stm07_bs($C$6,"W43801822",T6,1,1000000)</f>
        <v>96437</v>
      </c>
      <c r="U13" s="23">
        <f>[2]!s_stm07_bs($C$6,"W43801822",U6,1,1000000)</f>
        <v>64918</v>
      </c>
      <c r="V13" s="23">
        <f>[2]!s_stm07_bs($C$6,"W43801822",V6,1,1000000)</f>
        <v>98458</v>
      </c>
      <c r="W13" s="23">
        <f>[2]!s_stm07_bs($C$6,"W43801822",W6,1,1000000)</f>
        <v>122782</v>
      </c>
      <c r="X13" s="23">
        <f>[2]!s_stm07_bs($C$6,"W43801822",X6,1,1000000)</f>
        <v>115583</v>
      </c>
      <c r="Y13" s="23">
        <f>[2]!s_stm07_bs($C$6,"W43801822",Y6,1,1000000)</f>
        <v>160516</v>
      </c>
      <c r="Z13" s="23">
        <f>[2]!s_stm07_bs($C$6,"W43801822",Z6,1,1000000)</f>
        <v>162649</v>
      </c>
      <c r="AA13" s="23">
        <f>[2]!s_stm07_bs($C$6,"W43801822",AA6,1,1000000)</f>
        <v>252403</v>
      </c>
      <c r="AB13" s="23">
        <f>[2]!s_stm07_bs($C$6,"W43801822",AB6,1,1000000)</f>
        <v>245655</v>
      </c>
      <c r="AC13" s="23">
        <f>[2]!s_stm07_bs($C$6,"W43801822",AC6,1,1000000)</f>
        <v>224513</v>
      </c>
      <c r="AD13" s="23">
        <f>[2]!s_stm07_bs($C$6,"W43801822",AD6,1,1000000)</f>
        <v>241121</v>
      </c>
      <c r="AE13" s="23">
        <f>[2]!s_stm07_bs($C$6,"W43801822",AE6,1,1000000)</f>
        <v>338009</v>
      </c>
      <c r="AF13" s="23">
        <f>[2]!s_stm07_bs($C$6,"W43801822",AF6,1,1000000)</f>
        <v>332439</v>
      </c>
      <c r="AG13" s="23">
        <f>[2]!s_stm07_bs($C$6,"W43801822",AG6,1,1000000)</f>
        <v>411618</v>
      </c>
      <c r="AH13" s="23">
        <f>[2]!s_stm07_bs($C$6,"W43801822",AH6,1,1000000)</f>
        <v>316793</v>
      </c>
      <c r="AI13" s="23">
        <f>[2]!s_stm07_bs($C$6,"W43801822",AI6,1,1000000)</f>
        <v>412298</v>
      </c>
      <c r="AJ13" s="23">
        <f>[2]!s_stm07_bs($C$6,"W43801822",AJ6,1,1000000)</f>
        <v>249264</v>
      </c>
      <c r="AK13" s="23">
        <f>[2]!s_stm07_bs($C$6,"W43801822",AK6,1,1000000)</f>
        <v>478503</v>
      </c>
      <c r="AL13" s="23">
        <f>[2]!s_stm07_bs($C$6,"W43801822",AL6,1,1000000)</f>
        <v>524736</v>
      </c>
      <c r="AM13" s="23">
        <f>[2]!s_stm07_bs($C$6,"W43801822",AM6,1,1000000)</f>
        <v>502982</v>
      </c>
      <c r="AN13" s="23">
        <f>[2]!s_stm07_bs($C$6,"W43801822",AN6,1,1000000)</f>
        <v>537363</v>
      </c>
      <c r="AO13" s="23">
        <f>[2]!s_stm07_bs($C$6,"W43801822",AO6,1,1000000)</f>
        <v>472234</v>
      </c>
      <c r="AP13" s="23">
        <f>[2]!s_stm07_bs($C$6,"W43801822",AP6,1,1000000)</f>
        <v>454134</v>
      </c>
      <c r="AQ13" s="23">
        <f>[2]!s_stm07_bs($C$6,"W43801822",AQ6,1,1000000)</f>
        <v>440468</v>
      </c>
      <c r="AR13" s="23">
        <f>[2]!s_stm07_bs($C$6,"W43801822",AR6,1,1000000)</f>
        <v>479421</v>
      </c>
      <c r="AS13" s="23">
        <f>[2]!s_stm07_bs($C$6,"W43801822",AS6,1,1000000)</f>
        <v>527415</v>
      </c>
      <c r="AT13" s="23">
        <f>[2]!s_stm07_bs($C$6,"W43801822",AT6,1,1000000)</f>
        <v>555019</v>
      </c>
      <c r="AU13" s="24">
        <f t="shared" si="0"/>
        <v>27604</v>
      </c>
      <c r="AV13" s="25">
        <f t="shared" si="1"/>
        <v>0.79868063190787575</v>
      </c>
    </row>
    <row r="14" spans="1:48" ht="13.15" x14ac:dyDescent="0.35">
      <c r="C14" s="26" t="s">
        <v>43</v>
      </c>
      <c r="E14" s="23">
        <f>[2]!s_stm07_bs($C$6,"W43784834",E6,1,1000000)</f>
        <v>0</v>
      </c>
      <c r="F14" s="23">
        <f>[2]!s_stm07_bs($C$6,"W43784834",F6,1,1000000)</f>
        <v>42520</v>
      </c>
      <c r="G14" s="23">
        <f>[2]!s_stm07_bs($C$6,"W43784834",G6,1,1000000)</f>
        <v>36791</v>
      </c>
      <c r="H14" s="23">
        <f>[2]!s_stm07_bs($C$6,"W43784834",H6,1,1000000)</f>
        <v>39880</v>
      </c>
      <c r="I14" s="23">
        <f>[2]!s_stm07_bs($C$6,"W43784834",I6,1,1000000)</f>
        <v>34321</v>
      </c>
      <c r="J14" s="23">
        <f>[2]!s_stm07_bs($C$6,"W43784834",J6,1,1000000)</f>
        <v>45239</v>
      </c>
      <c r="K14" s="23">
        <f>[2]!s_stm07_bs($C$6,"W43784834",K6,1,1000000)</f>
        <v>43739</v>
      </c>
      <c r="L14" s="23">
        <f>[2]!s_stm07_bs($C$6,"W43784834",L6,1,1000000)</f>
        <v>31200</v>
      </c>
      <c r="M14" s="23">
        <f>[2]!s_stm07_bs($C$6,"W43784834",M6,1,1000000)</f>
        <v>33641</v>
      </c>
      <c r="N14" s="23">
        <f>[2]!s_stm07_bs($C$6,"W43784834",N6,1,1000000)</f>
        <v>28477</v>
      </c>
      <c r="O14" s="23">
        <f>[2]!s_stm07_bs($C$6,"W43784834",O6,1,1000000)</f>
        <v>31653</v>
      </c>
      <c r="P14" s="23">
        <f>[2]!s_stm07_bs($C$6,"W43784834",P6,1,1000000)</f>
        <v>24977</v>
      </c>
      <c r="Q14" s="23">
        <f>[2]!s_stm07_bs($C$6,"W43784834",Q6,1,1000000)</f>
        <v>20147</v>
      </c>
      <c r="R14" s="23">
        <f>[2]!s_stm07_bs($C$6,"W43784834",R6,1,1000000)</f>
        <v>11574</v>
      </c>
      <c r="S14" s="23">
        <f>[2]!s_stm07_bs($C$6,"W43784834",S6,1,1000000)</f>
        <v>15704</v>
      </c>
      <c r="T14" s="23">
        <f>[2]!s_stm07_bs($C$6,"W43784834",T6,1,1000000)</f>
        <v>17173</v>
      </c>
      <c r="U14" s="23">
        <f>[2]!s_stm07_bs($C$6,"W43784834",U6,1,1000000)</f>
        <v>12986</v>
      </c>
      <c r="V14" s="23">
        <f>[2]!s_stm07_bs($C$6,"W43784834",V6,1,1000000)</f>
        <v>137472</v>
      </c>
      <c r="W14" s="23">
        <f>[2]!s_stm07_bs($C$6,"W43784834",W6,1,1000000)</f>
        <v>131496</v>
      </c>
      <c r="X14" s="23">
        <f>[2]!s_stm07_bs($C$6,"W43784834",X6,1,1000000)</f>
        <v>179216</v>
      </c>
      <c r="Y14" s="23">
        <f>[2]!s_stm07_bs($C$6,"W43784834",Y6,1,1000000)</f>
        <v>152208</v>
      </c>
      <c r="Z14" s="23">
        <f>[2]!s_stm07_bs($C$6,"W43784834",Z6,1,1000000)</f>
        <v>188488</v>
      </c>
      <c r="AA14" s="23">
        <f>[2]!s_stm07_bs($C$6,"W43784834",AA6,1,1000000)</f>
        <v>131837</v>
      </c>
      <c r="AB14" s="23">
        <f>[2]!s_stm07_bs($C$6,"W43784834",AB6,1,1000000)</f>
        <v>165545</v>
      </c>
      <c r="AC14" s="23">
        <f>[2]!s_stm07_bs($C$6,"W43784834",AC6,1,1000000)</f>
        <v>221671</v>
      </c>
      <c r="AD14" s="23">
        <f>[2]!s_stm07_bs($C$6,"W43784834",AD6,1,1000000)</f>
        <v>172381</v>
      </c>
      <c r="AE14" s="23">
        <f>[2]!s_stm07_bs($C$6,"W43784834",AE6,1,1000000)</f>
        <v>312151</v>
      </c>
      <c r="AF14" s="23">
        <f>[2]!s_stm07_bs($C$6,"W43784834",AF6,1,1000000)</f>
        <v>371823</v>
      </c>
      <c r="AG14" s="23">
        <f>[2]!s_stm07_bs($C$6,"W43784834",AG6,1,1000000)</f>
        <v>372556</v>
      </c>
      <c r="AH14" s="23">
        <f>[2]!s_stm07_bs($C$6,"W43784834",AH6,1,1000000)</f>
        <v>357130</v>
      </c>
      <c r="AI14" s="23">
        <f>[2]!s_stm07_bs($C$6,"W43784834",AI6,1,1000000)</f>
        <v>386592</v>
      </c>
      <c r="AJ14" s="23">
        <f>[2]!s_stm07_bs($C$6,"W43784834",AJ6,1,1000000)</f>
        <v>346948</v>
      </c>
      <c r="AK14" s="23">
        <f>[2]!s_stm07_bs($C$6,"W43784834",AK6,1,1000000)</f>
        <v>346828</v>
      </c>
      <c r="AL14" s="23">
        <f>[2]!s_stm07_bs($C$6,"W43784834",AL6,1,1000000)</f>
        <v>430159</v>
      </c>
      <c r="AM14" s="23">
        <f>[2]!s_stm07_bs($C$6,"W43784834",AM6,1,1000000)</f>
        <v>422960</v>
      </c>
      <c r="AN14" s="23">
        <f>[2]!s_stm07_bs($C$6,"W43784834",AN6,1,1000000)</f>
        <v>465734</v>
      </c>
      <c r="AO14" s="23">
        <f>[2]!s_stm07_bs($C$6,"W43784834",AO6,1,1000000)</f>
        <v>343272</v>
      </c>
      <c r="AP14" s="23">
        <f>[2]!s_stm07_bs($C$6,"W43784834",AP6,1,1000000)</f>
        <v>428620</v>
      </c>
      <c r="AQ14" s="23">
        <f>[2]!s_stm07_bs($C$6,"W43784834",AQ6,1,1000000)</f>
        <v>439093</v>
      </c>
      <c r="AR14" s="23">
        <f>[2]!s_stm07_bs($C$6,"W43784834",AR6,1,1000000)</f>
        <v>492992</v>
      </c>
      <c r="AS14" s="23">
        <f>[2]!s_stm07_bs($C$6,"W43784834",AS6,1,1000000)</f>
        <v>474475</v>
      </c>
      <c r="AT14" s="23">
        <f>[2]!s_stm07_bs($C$6,"W43784834",AT6,1,1000000)</f>
        <v>508943</v>
      </c>
      <c r="AU14" s="24">
        <f t="shared" si="0"/>
        <v>34468</v>
      </c>
      <c r="AV14" s="25">
        <f t="shared" si="1"/>
        <v>0.99728024998553322</v>
      </c>
    </row>
    <row r="15" spans="1:48" ht="13.15" x14ac:dyDescent="0.35">
      <c r="C15" s="26" t="s">
        <v>44</v>
      </c>
      <c r="E15" s="23">
        <f>[2]!s_stm07_bs($C$6,"W42630904",E6,1,1000000)</f>
        <v>10539</v>
      </c>
      <c r="F15" s="23">
        <f>[2]!s_stm07_bs($C$6,"W42630904",F6,1,1000000)</f>
        <v>11690</v>
      </c>
      <c r="G15" s="23">
        <f>[2]!s_stm07_bs($C$6,"W42630904",G6,1,1000000)</f>
        <v>14305</v>
      </c>
      <c r="H15" s="23">
        <f>[2]!s_stm07_bs($C$6,"W42630904",H6,1,1000000)</f>
        <v>17292</v>
      </c>
      <c r="I15" s="23">
        <f>[2]!s_stm07_bs($C$6,"W42630904",I6,1,1000000)</f>
        <v>22769</v>
      </c>
      <c r="J15" s="23">
        <f>[2]!s_stm07_bs($C$6,"W42630904",J6,1,1000000)</f>
        <v>28366</v>
      </c>
      <c r="K15" s="23">
        <f>[2]!s_stm07_bs($C$6,"W42630904",K6,1,1000000)</f>
        <v>25354</v>
      </c>
      <c r="L15" s="23">
        <f>[2]!s_stm07_bs($C$6,"W42630904",L6,1,1000000)</f>
        <v>19013</v>
      </c>
      <c r="M15" s="23">
        <f>[2]!s_stm07_bs($C$6,"W42630904",M6,1,1000000)</f>
        <v>15721</v>
      </c>
      <c r="N15" s="23">
        <f>[2]!s_stm07_bs($C$6,"W42630904",N6,1,1000000)</f>
        <v>9697</v>
      </c>
      <c r="O15" s="23">
        <f>[2]!s_stm07_bs($C$6,"W42630904",O6,1,1000000)</f>
        <v>6867</v>
      </c>
      <c r="P15" s="23">
        <f>[2]!s_stm07_bs($C$6,"W42630904",P6,1,1000000)</f>
        <v>7468</v>
      </c>
      <c r="Q15" s="23">
        <f>[2]!s_stm07_bs($C$6,"W42630904",Q6,1,1000000)</f>
        <v>5758</v>
      </c>
      <c r="R15" s="23">
        <f>[2]!s_stm07_bs($C$6,"W42630904",R6,1,1000000)</f>
        <v>5172</v>
      </c>
      <c r="S15" s="23">
        <f>[2]!s_stm07_bs($C$6,"W42630904",S6,1,1000000)</f>
        <v>8735</v>
      </c>
      <c r="T15" s="23">
        <f>[2]!s_stm07_bs($C$6,"W42630904",T6,1,1000000)</f>
        <v>10254</v>
      </c>
      <c r="U15" s="23">
        <f>[2]!s_stm07_bs($C$6,"W42630904",U6,1,1000000)</f>
        <v>13332</v>
      </c>
      <c r="V15" s="23">
        <f>[2]!s_stm07_bs($C$6,"W42630904",V6,1,1000000)</f>
        <v>12966</v>
      </c>
      <c r="W15" s="23">
        <f>[2]!s_stm07_bs($C$6,"W42630904",W6,1,1000000)</f>
        <v>13803</v>
      </c>
      <c r="X15" s="23">
        <f>[2]!s_stm07_bs($C$6,"W42630904",X6,1,1000000)</f>
        <v>15596</v>
      </c>
      <c r="Y15" s="23">
        <f>[2]!s_stm07_bs($C$6,"W42630904",Y6,1,1000000)</f>
        <v>17460</v>
      </c>
      <c r="Z15" s="23">
        <f>[2]!s_stm07_bs($C$6,"W42630904",Z6,1,1000000)</f>
        <v>11163</v>
      </c>
      <c r="AA15" s="23">
        <f>[2]!s_stm07_bs($C$6,"W42630904",AA6,1,1000000)</f>
        <v>14484</v>
      </c>
      <c r="AB15" s="23">
        <f>[2]!s_stm07_bs($C$6,"W42630904",AB6,1,1000000)</f>
        <v>14942</v>
      </c>
      <c r="AC15" s="23">
        <f>[2]!s_stm07_bs($C$6,"W42630904",AC6,1,1000000)</f>
        <v>14756</v>
      </c>
      <c r="AD15" s="23">
        <f>[2]!s_stm07_bs($C$6,"W42630904",AD6,1,1000000)</f>
        <v>17941</v>
      </c>
      <c r="AE15" s="23">
        <f>[2]!s_stm07_bs($C$6,"W42630904",AE6,1,1000000)</f>
        <v>26949</v>
      </c>
      <c r="AF15" s="23">
        <f>[2]!s_stm07_bs($C$6,"W42630904",AF6,1,1000000)</f>
        <v>19600</v>
      </c>
      <c r="AG15" s="23">
        <f>[2]!s_stm07_bs($C$6,"W42630904",AG6,1,1000000)</f>
        <v>25020</v>
      </c>
      <c r="AH15" s="23">
        <f>[2]!s_stm07_bs($C$6,"W42630904",AH6,1,1000000)</f>
        <v>26427</v>
      </c>
      <c r="AI15" s="23">
        <f>[2]!s_stm07_bs($C$6,"W42630904",AI6,1,1000000)</f>
        <v>25943</v>
      </c>
      <c r="AJ15" s="23">
        <f>[2]!s_stm07_bs($C$6,"W42630904",AJ6,1,1000000)</f>
        <v>37277</v>
      </c>
      <c r="AK15" s="23">
        <f>[2]!s_stm07_bs($C$6,"W42630904",AK6,1,1000000)</f>
        <v>24048</v>
      </c>
      <c r="AL15" s="23">
        <f>[2]!s_stm07_bs($C$6,"W42630904",AL6,1,1000000)</f>
        <v>81494</v>
      </c>
      <c r="AM15" s="23">
        <f>[2]!s_stm07_bs($C$6,"W42630904",AM6,1,1000000)</f>
        <v>69657</v>
      </c>
      <c r="AN15" s="23">
        <f>[2]!s_stm07_bs($C$6,"W42630904",AN6,1,1000000)</f>
        <v>71478</v>
      </c>
      <c r="AO15" s="23">
        <f>[2]!s_stm07_bs($C$6,"W42630904",AO6,1,1000000)</f>
        <v>78870</v>
      </c>
      <c r="AP15" s="23">
        <f>[2]!s_stm07_bs($C$6,"W42630904",AP6,1,1000000)</f>
        <v>96446</v>
      </c>
      <c r="AQ15" s="23">
        <f>[2]!s_stm07_bs($C$6,"W42630904",AQ6,1,1000000)</f>
        <v>71180</v>
      </c>
      <c r="AR15" s="23">
        <f>[2]!s_stm07_bs($C$6,"W42630904",AR6,1,1000000)</f>
        <v>69860</v>
      </c>
      <c r="AS15" s="23">
        <f>[2]!s_stm07_bs($C$6,"W42630904",AS6,1,1000000)</f>
        <v>94452</v>
      </c>
      <c r="AT15" s="23">
        <f>[2]!s_stm07_bs($C$6,"W42630904",AT6,1,1000000)</f>
        <v>71997</v>
      </c>
      <c r="AU15" s="24">
        <f t="shared" si="0"/>
        <v>-22455</v>
      </c>
      <c r="AV15" s="25">
        <f t="shared" si="1"/>
        <v>-0.64970198483884034</v>
      </c>
    </row>
    <row r="16" spans="1:48" ht="13.15" x14ac:dyDescent="0.35">
      <c r="C16" s="26" t="s">
        <v>45</v>
      </c>
      <c r="E16" s="23">
        <f>[2]!s_stm07_bs($C$6,"W49720400",E6,1,1000000)</f>
        <v>39218</v>
      </c>
      <c r="F16" s="23">
        <f>[2]!s_stm07_bs($C$6,"W49720400",F6,1,1000000)</f>
        <v>73636</v>
      </c>
      <c r="G16" s="23">
        <f>[2]!s_stm07_bs($C$6,"W49720400",G6,1,1000000)</f>
        <v>84110</v>
      </c>
      <c r="H16" s="23">
        <f>[2]!s_stm07_bs($C$6,"W49720400",H6,1,1000000)</f>
        <v>96798</v>
      </c>
      <c r="I16" s="23">
        <f>[2]!s_stm07_bs($C$6,"W49720400",I6,1,1000000)</f>
        <v>75880</v>
      </c>
      <c r="J16" s="23">
        <f>[2]!s_stm07_bs($C$6,"W49720400",J6,1,1000000)</f>
        <v>88885</v>
      </c>
      <c r="K16" s="23">
        <f>[2]!s_stm07_bs($C$6,"W49720400",K6,1,1000000)</f>
        <v>59182</v>
      </c>
      <c r="L16" s="23">
        <f>[2]!s_stm07_bs($C$6,"W49720400",L6,1,1000000)</f>
        <v>66419</v>
      </c>
      <c r="M16" s="23">
        <f>[2]!s_stm07_bs($C$6,"W49720400",M6,1,1000000)</f>
        <v>163493</v>
      </c>
      <c r="N16" s="23">
        <f>[2]!s_stm07_bs($C$6,"W49720400",N6,1,1000000)</f>
        <v>764461</v>
      </c>
      <c r="O16" s="23">
        <f>[2]!s_stm07_bs($C$6,"W49720400",O6,1,1000000)</f>
        <v>943284</v>
      </c>
      <c r="P16" s="23">
        <f>[2]!s_stm07_bs($C$6,"W49720400",P6,1,1000000)</f>
        <v>564082</v>
      </c>
      <c r="Q16" s="23">
        <f>[2]!s_stm07_bs($C$6,"W49720400",Q6,1,1000000)</f>
        <v>408826</v>
      </c>
      <c r="R16" s="23">
        <f>[2]!s_stm07_bs($C$6,"W49720400",R6,1,1000000)</f>
        <v>452383</v>
      </c>
      <c r="S16" s="23">
        <f>[2]!s_stm07_bs($C$6,"W49720400",S6,1,1000000)</f>
        <v>279136</v>
      </c>
      <c r="T16" s="23">
        <f>[2]!s_stm07_bs($C$6,"W49720400",T6,1,1000000)</f>
        <v>366015</v>
      </c>
      <c r="U16" s="23">
        <f>[2]!s_stm07_bs($C$6,"W49720400",U6,1,1000000)</f>
        <v>262227</v>
      </c>
      <c r="V16" s="23">
        <f>[2]!s_stm07_bs($C$6,"W49720400",V6,1,1000000)</f>
        <v>380660</v>
      </c>
      <c r="W16" s="23">
        <f>[2]!s_stm07_bs($C$6,"W49720400",W6,1,1000000)</f>
        <v>357829</v>
      </c>
      <c r="X16" s="23">
        <f>[2]!s_stm07_bs($C$6,"W49720400",X6,1,1000000)</f>
        <v>263273</v>
      </c>
      <c r="Y16" s="23">
        <f>[2]!s_stm07_bs($C$6,"W49720400",Y6,1,1000000)</f>
        <v>349437</v>
      </c>
      <c r="Z16" s="23">
        <f>[2]!s_stm07_bs($C$6,"W49720400",Z6,1,1000000)</f>
        <v>496211</v>
      </c>
      <c r="AA16" s="23">
        <f>[2]!s_stm07_bs($C$6,"W49720400",AA6,1,1000000)</f>
        <v>532764</v>
      </c>
      <c r="AB16" s="23">
        <f>[2]!s_stm07_bs($C$6,"W49720400",AB6,1,1000000)</f>
        <v>499342</v>
      </c>
      <c r="AC16" s="23">
        <f>[2]!s_stm07_bs($C$6,"W49720400",AC6,1,1000000)</f>
        <v>544579</v>
      </c>
      <c r="AD16" s="23">
        <f>[2]!s_stm07_bs($C$6,"W49720400",AD6,1,1000000)</f>
        <v>672004</v>
      </c>
      <c r="AE16" s="23">
        <f>[2]!s_stm07_bs($C$6,"W49720400",AE6,1,1000000)</f>
        <v>462000</v>
      </c>
      <c r="AF16" s="23">
        <f>[2]!s_stm07_bs($C$6,"W49720400",AF6,1,1000000)</f>
        <v>406661</v>
      </c>
      <c r="AG16" s="23">
        <f>[2]!s_stm07_bs($C$6,"W49720400",AG6,1,1000000)</f>
        <v>331903</v>
      </c>
      <c r="AH16" s="23">
        <f>[2]!s_stm07_bs($C$6,"W49720400",AH6,1,1000000)</f>
        <v>515635</v>
      </c>
      <c r="AI16" s="23">
        <f>[2]!s_stm07_bs($C$6,"W49720400",AI6,1,1000000)</f>
        <v>540645</v>
      </c>
      <c r="AJ16" s="23">
        <f>[2]!s_stm07_bs($C$6,"W49720400",AJ6,1,1000000)</f>
        <v>432604</v>
      </c>
      <c r="AK16" s="23">
        <f>[2]!s_stm07_bs($C$6,"W49720400",AK6,1,1000000)</f>
        <v>468462</v>
      </c>
      <c r="AL16" s="23">
        <f>[2]!s_stm07_bs($C$6,"W49720400",AL6,1,1000000)</f>
        <v>659421</v>
      </c>
      <c r="AM16" s="23">
        <f>[2]!s_stm07_bs($C$6,"W49720400",AM6,1,1000000)</f>
        <v>1040068</v>
      </c>
      <c r="AN16" s="23">
        <f>[2]!s_stm07_bs($C$6,"W49720400",AN6,1,1000000)</f>
        <v>652266</v>
      </c>
      <c r="AO16" s="23">
        <f>[2]!s_stm07_bs($C$6,"W49720400",AO6,1,1000000)</f>
        <v>996333</v>
      </c>
      <c r="AP16" s="23">
        <f>[2]!s_stm07_bs($C$6,"W49720400",AP6,1,1000000)</f>
        <v>687354</v>
      </c>
      <c r="AQ16" s="23">
        <f>[2]!s_stm07_bs($C$6,"W49720400",AQ6,1,1000000)</f>
        <v>723379</v>
      </c>
      <c r="AR16" s="23">
        <f>[2]!s_stm07_bs($C$6,"W49720400",AR6,1,1000000)</f>
        <v>554690</v>
      </c>
      <c r="AS16" s="23">
        <f>[2]!s_stm07_bs($C$6,"W49720400",AS6,1,1000000)</f>
        <v>755627</v>
      </c>
      <c r="AT16" s="23">
        <f>[2]!s_stm07_bs($C$6,"W49720400",AT6,1,1000000)</f>
        <v>558602</v>
      </c>
      <c r="AU16" s="24">
        <f t="shared" si="0"/>
        <v>-197025</v>
      </c>
      <c r="AV16" s="25">
        <f t="shared" si="1"/>
        <v>-5.7006249638331115</v>
      </c>
    </row>
    <row r="17" spans="3:48" ht="13.15" x14ac:dyDescent="0.35">
      <c r="C17" s="26" t="s">
        <v>46</v>
      </c>
      <c r="E17" s="23">
        <f>[2]!s_stm07_bs($C$6,"W47342125",E6,1,1000000)</f>
        <v>0</v>
      </c>
      <c r="F17" s="23">
        <f>[2]!s_stm07_bs($C$6,"W47342125",F6,1,1000000)</f>
        <v>0</v>
      </c>
      <c r="G17" s="23">
        <f>[2]!s_stm07_bs($C$6,"W47342125",G6,1,1000000)</f>
        <v>0</v>
      </c>
      <c r="H17" s="23">
        <f>[2]!s_stm07_bs($C$6,"W47342125",H6,1,1000000)</f>
        <v>0</v>
      </c>
      <c r="I17" s="23">
        <f>[2]!s_stm07_bs($C$6,"W47342125",I6,1,1000000)</f>
        <v>0</v>
      </c>
      <c r="J17" s="23">
        <f>[2]!s_stm07_bs($C$6,"W47342125",J6,1,1000000)</f>
        <v>0</v>
      </c>
      <c r="K17" s="23">
        <f>[2]!s_stm07_bs($C$6,"W47342125",K6,1,1000000)</f>
        <v>0</v>
      </c>
      <c r="L17" s="23">
        <f>[2]!s_stm07_bs($C$6,"W47342125",L6,1,1000000)</f>
        <v>0</v>
      </c>
      <c r="M17" s="23">
        <f>[2]!s_stm07_bs($C$6,"W47342125",M6,1,1000000)</f>
        <v>0</v>
      </c>
      <c r="N17" s="23">
        <f>[2]!s_stm07_bs($C$6,"W47342125",N6,1,1000000)</f>
        <v>0</v>
      </c>
      <c r="O17" s="23">
        <f>[2]!s_stm07_bs($C$6,"W47342125",O6,1,1000000)</f>
        <v>0</v>
      </c>
      <c r="P17" s="23">
        <f>[2]!s_stm07_bs($C$6,"W47342125",P6,1,1000000)</f>
        <v>0</v>
      </c>
      <c r="Q17" s="23">
        <f>[2]!s_stm07_bs($C$6,"W47342125",Q6,1,1000000)</f>
        <v>0</v>
      </c>
      <c r="R17" s="23">
        <f>[2]!s_stm07_bs($C$6,"W47342125",R6,1,1000000)</f>
        <v>0</v>
      </c>
      <c r="S17" s="23">
        <f>[2]!s_stm07_bs($C$6,"W47342125",S6,1,1000000)</f>
        <v>0</v>
      </c>
      <c r="T17" s="23">
        <f>[2]!s_stm07_bs($C$6,"W47342125",T6,1,1000000)</f>
        <v>0</v>
      </c>
      <c r="U17" s="23">
        <f>[2]!s_stm07_bs($C$6,"W47342125",U6,1,1000000)</f>
        <v>0</v>
      </c>
      <c r="V17" s="23">
        <f>[2]!s_stm07_bs($C$6,"W47342125",V6,1,1000000)</f>
        <v>0</v>
      </c>
      <c r="W17" s="23">
        <f>[2]!s_stm07_bs($C$6,"W47342125",W6,1,1000000)</f>
        <v>0</v>
      </c>
      <c r="X17" s="23">
        <f>[2]!s_stm07_bs($C$6,"W47342125",X6,1,1000000)</f>
        <v>0</v>
      </c>
      <c r="Y17" s="23">
        <f>[2]!s_stm07_bs($C$6,"W47342125",Y6,1,1000000)</f>
        <v>0</v>
      </c>
      <c r="Z17" s="23">
        <f>[2]!s_stm07_bs($C$6,"W47342125",Z6,1,1000000)</f>
        <v>0</v>
      </c>
      <c r="AA17" s="23">
        <f>[2]!s_stm07_bs($C$6,"W47342125",AA6,1,1000000)</f>
        <v>0</v>
      </c>
      <c r="AB17" s="23">
        <f>[2]!s_stm07_bs($C$6,"W47342125",AB6,1,1000000)</f>
        <v>0</v>
      </c>
      <c r="AC17" s="23">
        <f>[2]!s_stm07_bs($C$6,"W47342125",AC6,1,1000000)</f>
        <v>0</v>
      </c>
      <c r="AD17" s="23">
        <f>[2]!s_stm07_bs($C$6,"W47342125",AD6,1,1000000)</f>
        <v>0</v>
      </c>
      <c r="AE17" s="23">
        <f>[2]!s_stm07_bs($C$6,"W47342125",AE6,1,1000000)</f>
        <v>0</v>
      </c>
      <c r="AF17" s="23">
        <f>[2]!s_stm07_bs($C$6,"W47342125",AF6,1,1000000)</f>
        <v>0</v>
      </c>
      <c r="AG17" s="23">
        <f>[2]!s_stm07_bs($C$6,"W47342125",AG6,1,1000000)</f>
        <v>0</v>
      </c>
      <c r="AH17" s="23">
        <f>[2]!s_stm07_bs($C$6,"W47342125",AH6,1,1000000)</f>
        <v>0</v>
      </c>
      <c r="AI17" s="23">
        <f>[2]!s_stm07_bs($C$6,"W47342125",AI6,1,1000000)</f>
        <v>0</v>
      </c>
      <c r="AJ17" s="23">
        <f>[2]!s_stm07_bs($C$6,"W47342125",AJ6,1,1000000)</f>
        <v>0</v>
      </c>
      <c r="AK17" s="23">
        <f>[2]!s_stm07_bs($C$6,"W47342125",AK6,1,1000000)</f>
        <v>0</v>
      </c>
      <c r="AL17" s="23">
        <f>[2]!s_stm07_bs($C$6,"W47342125",AL6,1,1000000)</f>
        <v>0</v>
      </c>
      <c r="AM17" s="23">
        <f>[2]!s_stm07_bs($C$6,"W47342125",AM6,1,1000000)</f>
        <v>0</v>
      </c>
      <c r="AN17" s="23">
        <f>[2]!s_stm07_bs($C$6,"W47342125",AN6,1,1000000)</f>
        <v>0</v>
      </c>
      <c r="AO17" s="23">
        <f>[2]!s_stm07_bs($C$6,"W47342125",AO6,1,1000000)</f>
        <v>0</v>
      </c>
      <c r="AP17" s="23">
        <f>[2]!s_stm07_bs($C$6,"W47342125",AP6,1,1000000)</f>
        <v>0</v>
      </c>
      <c r="AQ17" s="23">
        <f>[2]!s_stm07_bs($C$6,"W47342125",AQ6,1,1000000)</f>
        <v>0</v>
      </c>
      <c r="AR17" s="23">
        <f>[2]!s_stm07_bs($C$6,"W47342125",AR6,1,1000000)</f>
        <v>0</v>
      </c>
      <c r="AS17" s="23">
        <f>[2]!s_stm07_bs($C$6,"W47342125",AS6,1,1000000)</f>
        <v>0</v>
      </c>
      <c r="AT17" s="23">
        <f>[2]!s_stm07_bs($C$6,"W47342125",AT6,1,1000000)</f>
        <v>0</v>
      </c>
      <c r="AU17" s="24">
        <f t="shared" si="0"/>
        <v>0</v>
      </c>
      <c r="AV17" s="25">
        <f t="shared" si="1"/>
        <v>0</v>
      </c>
    </row>
    <row r="18" spans="3:48" ht="13.15" x14ac:dyDescent="0.35">
      <c r="C18" s="26" t="s">
        <v>47</v>
      </c>
      <c r="E18" s="23">
        <f>[2]!s_stm07_bs($C$6,"W47456352",E6,1,1000000)</f>
        <v>3533978</v>
      </c>
      <c r="F18" s="23">
        <f>[2]!s_stm07_bs($C$6,"W47456352",F6,1,1000000)</f>
        <v>3696433</v>
      </c>
      <c r="G18" s="23">
        <f>[2]!s_stm07_bs($C$6,"W47456352",G6,1,1000000)</f>
        <v>3811067</v>
      </c>
      <c r="H18" s="23">
        <f>[2]!s_stm07_bs($C$6,"W47456352",H6,1,1000000)</f>
        <v>3935917</v>
      </c>
      <c r="I18" s="23">
        <f>[2]!s_stm07_bs($C$6,"W47456352",I6,1,1000000)</f>
        <v>3957542</v>
      </c>
      <c r="J18" s="23">
        <f>[2]!s_stm07_bs($C$6,"W47456352",J6,1,1000000)</f>
        <v>4133824</v>
      </c>
      <c r="K18" s="23">
        <f>[2]!s_stm07_bs($C$6,"W47456352",K6,1,1000000)</f>
        <v>4233318</v>
      </c>
      <c r="L18" s="23">
        <f>[2]!s_stm07_bs($C$6,"W47456352",L6,1,1000000)</f>
        <v>4292991</v>
      </c>
      <c r="M18" s="23">
        <f>[2]!s_stm07_bs($C$6,"W47456352",M6,1,1000000)</f>
        <v>4436011</v>
      </c>
      <c r="N18" s="23">
        <f>[2]!s_stm07_bs($C$6,"W47456352",N6,1,1000000)</f>
        <v>5072907</v>
      </c>
      <c r="O18" s="23">
        <f>[2]!s_stm07_bs($C$6,"W47456352",O6,1,1000000)</f>
        <v>5300116</v>
      </c>
      <c r="P18" s="23">
        <f>[2]!s_stm07_bs($C$6,"W47456352",P6,1,1000000)</f>
        <v>5441698</v>
      </c>
      <c r="Q18" s="23">
        <f>[2]!s_stm07_bs($C$6,"W47456352",Q6,1,1000000)</f>
        <v>5583174</v>
      </c>
      <c r="R18" s="23">
        <f>[2]!s_stm07_bs($C$6,"W47456352",R6,1,1000000)</f>
        <v>5916094</v>
      </c>
      <c r="S18" s="23">
        <f>[2]!s_stm07_bs($C$6,"W47456352",S6,1,1000000)</f>
        <v>6202394</v>
      </c>
      <c r="T18" s="23">
        <f>[2]!s_stm07_bs($C$6,"W47456352",T6,1,1000000)</f>
        <v>6412354</v>
      </c>
      <c r="U18" s="23">
        <f>[2]!s_stm07_bs($C$6,"W47456352",U6,1,1000000)</f>
        <v>6623372</v>
      </c>
      <c r="V18" s="23">
        <f>[2]!s_stm07_bs($C$6,"W47456352",V6,1,1000000)</f>
        <v>6888873</v>
      </c>
      <c r="W18" s="23">
        <f>[2]!s_stm07_bs($C$6,"W47456352",W6,1,1000000)</f>
        <v>7152587</v>
      </c>
      <c r="X18" s="23">
        <f>[2]!s_stm07_bs($C$6,"W47456352",X6,1,1000000)</f>
        <v>7410387</v>
      </c>
      <c r="Y18" s="23">
        <f>[2]!s_stm07_bs($C$6,"W47456352",Y6,1,1000000)</f>
        <v>7594019</v>
      </c>
      <c r="Z18" s="23">
        <f>[2]!s_stm07_bs($C$6,"W47456352",Z6,1,1000000)</f>
        <v>7953554</v>
      </c>
      <c r="AA18" s="23">
        <f>[2]!s_stm07_bs($C$6,"W47456352",AA6,1,1000000)</f>
        <v>8212636</v>
      </c>
      <c r="AB18" s="23">
        <f>[2]!s_stm07_bs($C$6,"W47456352",AB6,1,1000000)</f>
        <v>8422283</v>
      </c>
      <c r="AC18" s="23">
        <f>[2]!s_stm07_bs($C$6,"W47456352",AC6,1,1000000)</f>
        <v>8583289</v>
      </c>
      <c r="AD18" s="23">
        <f>[2]!s_stm07_bs($C$6,"W47456352",AD6,1,1000000)</f>
        <v>9033777</v>
      </c>
      <c r="AE18" s="23">
        <f>[2]!s_stm07_bs($C$6,"W47456352",AE6,1,1000000)</f>
        <v>9202023</v>
      </c>
      <c r="AF18" s="23">
        <f>[2]!s_stm07_bs($C$6,"W47456352",AF6,1,1000000)</f>
        <v>9409635</v>
      </c>
      <c r="AG18" s="23">
        <f>[2]!s_stm07_bs($C$6,"W47456352",AG6,1,1000000)</f>
        <v>9681415</v>
      </c>
      <c r="AH18" s="23">
        <f>[2]!s_stm07_bs($C$6,"W47456352",AH6,1,1000000)</f>
        <v>10125436</v>
      </c>
      <c r="AI18" s="23">
        <f>[2]!s_stm07_bs($C$6,"W47456352",AI6,1,1000000)</f>
        <v>10394435</v>
      </c>
      <c r="AJ18" s="23">
        <f>[2]!s_stm07_bs($C$6,"W47456352",AJ6,1,1000000)</f>
        <v>10603544</v>
      </c>
      <c r="AK18" s="23">
        <f>[2]!s_stm07_bs($C$6,"W47456352",AK6,1,1000000)</f>
        <v>10768750</v>
      </c>
      <c r="AL18" s="23">
        <f>[2]!s_stm07_bs($C$6,"W47456352",AL6,1,1000000)</f>
        <v>11057257</v>
      </c>
      <c r="AM18" s="23">
        <f>[2]!s_stm07_bs($C$6,"W47456352",AM6,1,1000000)</f>
        <v>11374947</v>
      </c>
      <c r="AN18" s="23">
        <f>[2]!s_stm07_bs($C$6,"W47456352",AN6,1,1000000)</f>
        <v>11610463</v>
      </c>
      <c r="AO18" s="23">
        <f>[2]!s_stm07_bs($C$6,"W47456352",AO6,1,1000000)</f>
        <v>11652812</v>
      </c>
      <c r="AP18" s="23">
        <f>[2]!s_stm07_bs($C$6,"W47456352",AP6,1,1000000)</f>
        <v>12056705</v>
      </c>
      <c r="AQ18" s="23">
        <f>[2]!s_stm07_bs($C$6,"W47456352",AQ6,1,1000000)</f>
        <v>12396561</v>
      </c>
      <c r="AR18" s="23">
        <f>[2]!s_stm07_bs($C$6,"W47456352",AR6,1,1000000)</f>
        <v>12629838</v>
      </c>
      <c r="AS18" s="23">
        <f>[2]!s_stm07_bs($C$6,"W47456352",AS6,1,1000000)</f>
        <v>12767334</v>
      </c>
      <c r="AT18" s="23">
        <f>[2]!s_stm07_bs($C$6,"W47456352",AT6,1,1000000)</f>
        <v>13267798</v>
      </c>
      <c r="AU18" s="24">
        <f t="shared" si="0"/>
        <v>500464</v>
      </c>
      <c r="AV18" s="25">
        <f t="shared" si="1"/>
        <v>14.480180545107343</v>
      </c>
    </row>
    <row r="19" spans="3:48" ht="13.15" x14ac:dyDescent="0.35">
      <c r="C19" s="26" t="s">
        <v>48</v>
      </c>
      <c r="E19" s="23">
        <f>[2]!s_stm07_bs($C$6,"W47556526",E6,1,1000000)</f>
        <v>0</v>
      </c>
      <c r="F19" s="23">
        <f>[2]!s_stm07_bs($C$6,"W47556526",F6,1,1000000)</f>
        <v>448420</v>
      </c>
      <c r="G19" s="23">
        <f>[2]!s_stm07_bs($C$6,"W47556526",G6,1,1000000)</f>
        <v>517669</v>
      </c>
      <c r="H19" s="23">
        <f>[2]!s_stm07_bs($C$6,"W47556526",H6,1,1000000)</f>
        <v>509383</v>
      </c>
      <c r="I19" s="23">
        <f>[2]!s_stm07_bs($C$6,"W47556526",I6,1,1000000)</f>
        <v>531241</v>
      </c>
      <c r="J19" s="23">
        <f>[2]!s_stm07_bs($C$6,"W47556526",J6,1,1000000)</f>
        <v>582927</v>
      </c>
      <c r="K19" s="23">
        <f>[2]!s_stm07_bs($C$6,"W47556526",K6,1,1000000)</f>
        <v>589512</v>
      </c>
      <c r="L19" s="23">
        <f>[2]!s_stm07_bs($C$6,"W47556526",L6,1,1000000)</f>
        <v>487003</v>
      </c>
      <c r="M19" s="23">
        <f>[2]!s_stm07_bs($C$6,"W47556526",M6,1,1000000)</f>
        <v>537600</v>
      </c>
      <c r="N19" s="23">
        <f>[2]!s_stm07_bs($C$6,"W47556526",N6,1,1000000)</f>
        <v>553175</v>
      </c>
      <c r="O19" s="23">
        <f>[2]!s_stm07_bs($C$6,"W47556526",O6,1,1000000)</f>
        <v>648498</v>
      </c>
      <c r="P19" s="23">
        <f>[2]!s_stm07_bs($C$6,"W47556526",P6,1,1000000)</f>
        <v>793669</v>
      </c>
      <c r="Q19" s="23">
        <f>[2]!s_stm07_bs($C$6,"W47556526",Q6,1,1000000)</f>
        <v>949909</v>
      </c>
      <c r="R19" s="23">
        <f>[2]!s_stm07_bs($C$6,"W47556526",R6,1,1000000)</f>
        <v>987291</v>
      </c>
      <c r="S19" s="23">
        <f>[2]!s_stm07_bs($C$6,"W47556526",S6,1,1000000)</f>
        <v>1027881</v>
      </c>
      <c r="T19" s="23">
        <f>[2]!s_stm07_bs($C$6,"W47556526",T6,1,1000000)</f>
        <v>955466</v>
      </c>
      <c r="U19" s="23">
        <f>[2]!s_stm07_bs($C$6,"W47556526",U6,1,1000000)</f>
        <v>904795</v>
      </c>
      <c r="V19" s="23">
        <f>[2]!s_stm07_bs($C$6,"W47556526",V6,1,1000000)</f>
        <v>824339</v>
      </c>
      <c r="W19" s="23">
        <f>[2]!s_stm07_bs($C$6,"W47556526",W6,1,1000000)</f>
        <v>829832</v>
      </c>
      <c r="X19" s="23">
        <f>[2]!s_stm07_bs($C$6,"W47556526",X6,1,1000000)</f>
        <v>824069</v>
      </c>
      <c r="Y19" s="23">
        <f>[2]!s_stm07_bs($C$6,"W47556526",Y6,1,1000000)</f>
        <v>840105</v>
      </c>
      <c r="Z19" s="23">
        <f>[2]!s_stm07_bs($C$6,"W47556526",Z6,1,1000000)</f>
        <v>875768</v>
      </c>
      <c r="AA19" s="23">
        <f>[2]!s_stm07_bs($C$6,"W47556526",AA6,1,1000000)</f>
        <v>869836</v>
      </c>
      <c r="AB19" s="23">
        <f>[2]!s_stm07_bs($C$6,"W47556526",AB6,1,1000000)</f>
        <v>903829</v>
      </c>
      <c r="AC19" s="23">
        <f>[2]!s_stm07_bs($C$6,"W47556526",AC6,1,1000000)</f>
        <v>920939</v>
      </c>
      <c r="AD19" s="23">
        <f>[2]!s_stm07_bs($C$6,"W47556526",AD6,1,1000000)</f>
        <v>986866</v>
      </c>
      <c r="AE19" s="23">
        <f>[2]!s_stm07_bs($C$6,"W47556526",AE6,1,1000000)</f>
        <v>1026407</v>
      </c>
      <c r="AF19" s="23">
        <f>[2]!s_stm07_bs($C$6,"W47556526",AF6,1,1000000)</f>
        <v>999922</v>
      </c>
      <c r="AG19" s="23">
        <f>[2]!s_stm07_bs($C$6,"W47556526",AG6,1,1000000)</f>
        <v>1000800</v>
      </c>
      <c r="AH19" s="23">
        <f>[2]!s_stm07_bs($C$6,"W47556526",AH6,1,1000000)</f>
        <v>1062402</v>
      </c>
      <c r="AI19" s="23">
        <f>[2]!s_stm07_bs($C$6,"W47556526",AI6,1,1000000)</f>
        <v>1128582</v>
      </c>
      <c r="AJ19" s="23">
        <f>[2]!s_stm07_bs($C$6,"W47556526",AJ6,1,1000000)</f>
        <v>1157309</v>
      </c>
      <c r="AK19" s="23">
        <f>[2]!s_stm07_bs($C$6,"W47556526",AK6,1,1000000)</f>
        <v>1188288</v>
      </c>
      <c r="AL19" s="23">
        <f>[2]!s_stm07_bs($C$6,"W47556526",AL6,1,1000000)</f>
        <v>1260509</v>
      </c>
      <c r="AM19" s="23">
        <f>[2]!s_stm07_bs($C$6,"W47556526",AM6,1,1000000)</f>
        <v>1438093</v>
      </c>
      <c r="AN19" s="23">
        <f>[2]!s_stm07_bs($C$6,"W47556526",AN6,1,1000000)</f>
        <v>1388838</v>
      </c>
      <c r="AO19" s="23">
        <f>[2]!s_stm07_bs($C$6,"W47556526",AO6,1,1000000)</f>
        <v>1444195</v>
      </c>
      <c r="AP19" s="23">
        <f>[2]!s_stm07_bs($C$6,"W47556526",AP6,1,1000000)</f>
        <v>1558482</v>
      </c>
      <c r="AQ19" s="23">
        <f>[2]!s_stm07_bs($C$6,"W47556526",AQ6,1,1000000)</f>
        <v>1607498</v>
      </c>
      <c r="AR19" s="23">
        <f>[2]!s_stm07_bs($C$6,"W47556526",AR6,1,1000000)</f>
        <v>1712001</v>
      </c>
      <c r="AS19" s="23">
        <f>[2]!s_stm07_bs($C$6,"W47556526",AS6,1,1000000)</f>
        <v>1742287</v>
      </c>
      <c r="AT19" s="23">
        <f>[2]!s_stm07_bs($C$6,"W47556526",AT6,1,1000000)</f>
        <v>1761001</v>
      </c>
      <c r="AU19" s="24">
        <f t="shared" si="0"/>
        <v>18714</v>
      </c>
      <c r="AV19" s="25">
        <f t="shared" si="1"/>
        <v>0.54146172096522194</v>
      </c>
    </row>
    <row r="20" spans="3:48" ht="13.15" x14ac:dyDescent="0.35">
      <c r="C20" s="26" t="s">
        <v>49</v>
      </c>
      <c r="E20" s="23">
        <f>[2]!s_stm07_bs($C$6,"W40712817",E6,1,1000000)</f>
        <v>0</v>
      </c>
      <c r="F20" s="23">
        <f>[2]!s_stm07_bs($C$6,"W40712817",F6,1,1000000)</f>
        <v>1384261</v>
      </c>
      <c r="G20" s="23">
        <f>[2]!s_stm07_bs($C$6,"W40712817",G6,1,1000000)</f>
        <v>1406324</v>
      </c>
      <c r="H20" s="23">
        <f>[2]!s_stm07_bs($C$6,"W40712817",H6,1,1000000)</f>
        <v>1346107</v>
      </c>
      <c r="I20" s="23">
        <f>[2]!s_stm07_bs($C$6,"W40712817",I6,1,1000000)</f>
        <v>1330085</v>
      </c>
      <c r="J20" s="23">
        <f>[2]!s_stm07_bs($C$6,"W40712817",J6,1,1000000)</f>
        <v>1343519</v>
      </c>
      <c r="K20" s="23">
        <f>[2]!s_stm07_bs($C$6,"W40712817",K6,1,1000000)</f>
        <v>1348421</v>
      </c>
      <c r="L20" s="23">
        <f>[2]!s_stm07_bs($C$6,"W40712817",L6,1,1000000)</f>
        <v>1328673</v>
      </c>
      <c r="M20" s="23">
        <f>[2]!s_stm07_bs($C$6,"W40712817",M6,1,1000000)</f>
        <v>1314320</v>
      </c>
      <c r="N20" s="23">
        <f>[2]!s_stm07_bs($C$6,"W40712817",N6,1,1000000)</f>
        <v>1278510</v>
      </c>
      <c r="O20" s="23">
        <f>[2]!s_stm07_bs($C$6,"W40712817",O6,1,1000000)</f>
        <v>1273141</v>
      </c>
      <c r="P20" s="23">
        <f>[2]!s_stm07_bs($C$6,"W40712817",P6,1,1000000)</f>
        <v>1410205</v>
      </c>
      <c r="Q20" s="23">
        <f>[2]!s_stm07_bs($C$6,"W40712817",Q6,1,1000000)</f>
        <v>1496738</v>
      </c>
      <c r="R20" s="23">
        <f>[2]!s_stm07_bs($C$6,"W40712817",R6,1,1000000)</f>
        <v>1460853</v>
      </c>
      <c r="S20" s="23">
        <f>[2]!s_stm07_bs($C$6,"W40712817",S6,1,1000000)</f>
        <v>2075392</v>
      </c>
      <c r="T20" s="23">
        <f>[2]!s_stm07_bs($C$6,"W40712817",T6,1,1000000)</f>
        <v>2279470</v>
      </c>
      <c r="U20" s="23">
        <f>[2]!s_stm07_bs($C$6,"W40712817",U6,1,1000000)</f>
        <v>2312781</v>
      </c>
      <c r="V20" s="23">
        <f>[2]!s_stm07_bs($C$6,"W40712817",V6,1,1000000)</f>
        <v>2286856</v>
      </c>
      <c r="W20" s="23">
        <f>[2]!s_stm07_bs($C$6,"W40712817",W6,1,1000000)</f>
        <v>2274928</v>
      </c>
      <c r="X20" s="23">
        <f>[2]!s_stm07_bs($C$6,"W40712817",X6,1,1000000)</f>
        <v>2399262</v>
      </c>
      <c r="Y20" s="23">
        <f>[2]!s_stm07_bs($C$6,"W40712817",Y6,1,1000000)</f>
        <v>2424785</v>
      </c>
      <c r="Z20" s="23">
        <f>[2]!s_stm07_bs($C$6,"W40712817",Z6,1,1000000)</f>
        <v>2500723</v>
      </c>
      <c r="AA20" s="23">
        <f>[2]!s_stm07_bs($C$6,"W40712817",AA6,1,1000000)</f>
        <v>2525686</v>
      </c>
      <c r="AB20" s="23">
        <f>[2]!s_stm07_bs($C$6,"W40712817",AB6,1,1000000)</f>
        <v>2560186</v>
      </c>
      <c r="AC20" s="23">
        <f>[2]!s_stm07_bs($C$6,"W40712817",AC6,1,1000000)</f>
        <v>2576562</v>
      </c>
      <c r="AD20" s="23">
        <f>[2]!s_stm07_bs($C$6,"W40712817",AD6,1,1000000)</f>
        <v>2638793</v>
      </c>
      <c r="AE20" s="23">
        <f>[2]!s_stm07_bs($C$6,"W40712817",AE6,1,1000000)</f>
        <v>2674164</v>
      </c>
      <c r="AF20" s="23">
        <f>[2]!s_stm07_bs($C$6,"W40712817",AF6,1,1000000)</f>
        <v>2658787</v>
      </c>
      <c r="AG20" s="23">
        <f>[2]!s_stm07_bs($C$6,"W40712817",AG6,1,1000000)</f>
        <v>2624400</v>
      </c>
      <c r="AH20" s="23">
        <f>[2]!s_stm07_bs($C$6,"W40712817",AH6,1,1000000)</f>
        <v>2599485</v>
      </c>
      <c r="AI20" s="23">
        <f>[2]!s_stm07_bs($C$6,"W40712817",AI6,1,1000000)</f>
        <v>2621864</v>
      </c>
      <c r="AJ20" s="23">
        <f>[2]!s_stm07_bs($C$6,"W40712817",AJ6,1,1000000)</f>
        <v>2593886</v>
      </c>
      <c r="AK20" s="23">
        <f>[2]!s_stm07_bs($C$6,"W40712817",AK6,1,1000000)</f>
        <v>2566390</v>
      </c>
      <c r="AL20" s="23">
        <f>[2]!s_stm07_bs($C$6,"W40712817",AL6,1,1000000)</f>
        <v>2544829</v>
      </c>
      <c r="AM20" s="23">
        <f>[2]!s_stm07_bs($C$6,"W40712817",AM6,1,1000000)</f>
        <v>2646489</v>
      </c>
      <c r="AN20" s="23">
        <f>[2]!s_stm07_bs($C$6,"W40712817",AN6,1,1000000)</f>
        <v>2815399</v>
      </c>
      <c r="AO20" s="23">
        <f>[2]!s_stm07_bs($C$6,"W40712817",AO6,1,1000000)</f>
        <v>2870353</v>
      </c>
      <c r="AP20" s="23">
        <f>[2]!s_stm07_bs($C$6,"W40712817",AP6,1,1000000)</f>
        <v>2945719</v>
      </c>
      <c r="AQ20" s="23">
        <f>[2]!s_stm07_bs($C$6,"W40712817",AQ6,1,1000000)</f>
        <v>3133551</v>
      </c>
      <c r="AR20" s="23">
        <f>[2]!s_stm07_bs($C$6,"W40712817",AR6,1,1000000)</f>
        <v>2937066</v>
      </c>
      <c r="AS20" s="23">
        <f>[2]!s_stm07_bs($C$6,"W40712817",AS6,1,1000000)</f>
        <v>2973042</v>
      </c>
      <c r="AT20" s="23">
        <f>[2]!s_stm07_bs($C$6,"W40712817",AT6,1,1000000)</f>
        <v>2985395</v>
      </c>
      <c r="AU20" s="24">
        <f t="shared" si="0"/>
        <v>12353</v>
      </c>
      <c r="AV20" s="25">
        <f t="shared" si="1"/>
        <v>0.35741565881604076</v>
      </c>
    </row>
    <row r="21" spans="3:48" ht="13.15" x14ac:dyDescent="0.35">
      <c r="C21" s="26" t="s">
        <v>50</v>
      </c>
      <c r="E21" s="23">
        <f>[2]!s_stm07_bs($C$6,"155",E6,1,1000000)</f>
        <v>0</v>
      </c>
      <c r="F21" s="23">
        <f>[2]!s_stm07_bs($C$6,"155",F6,1,1000000)</f>
        <v>1116034</v>
      </c>
      <c r="G21" s="23">
        <f>[2]!s_stm07_bs($C$6,"155",G6,1,1000000)</f>
        <v>1141038</v>
      </c>
      <c r="H21" s="23">
        <f>[2]!s_stm07_bs($C$6,"155",H6,1,1000000)</f>
        <v>1215258</v>
      </c>
      <c r="I21" s="23">
        <f>[2]!s_stm07_bs($C$6,"155",I6,1,1000000)</f>
        <v>1211767</v>
      </c>
      <c r="J21" s="23">
        <f>[2]!s_stm07_bs($C$6,"155",J6,1,1000000)</f>
        <v>1213273</v>
      </c>
      <c r="K21" s="23">
        <f>[2]!s_stm07_bs($C$6,"155",K6,1,1000000)</f>
        <v>1212167</v>
      </c>
      <c r="L21" s="23">
        <f>[2]!s_stm07_bs($C$6,"155",L6,1,1000000)</f>
        <v>1165408</v>
      </c>
      <c r="M21" s="23">
        <f>[2]!s_stm07_bs($C$6,"155",M6,1,1000000)</f>
        <v>1162769</v>
      </c>
      <c r="N21" s="23">
        <f>[2]!s_stm07_bs($C$6,"155",N6,1,1000000)</f>
        <v>1162769</v>
      </c>
      <c r="O21" s="23">
        <f>[2]!s_stm07_bs($C$6,"155",O6,1,1000000)</f>
        <v>1163169</v>
      </c>
      <c r="P21" s="23">
        <f>[2]!s_stm07_bs($C$6,"155",P6,1,1000000)</f>
        <v>1134031</v>
      </c>
      <c r="Q21" s="23">
        <f>[2]!s_stm07_bs($C$6,"155",Q6,1,1000000)</f>
        <v>1132379</v>
      </c>
      <c r="R21" s="23">
        <f>[2]!s_stm07_bs($C$6,"155",R6,1,1000000)</f>
        <v>1049052</v>
      </c>
      <c r="S21" s="23">
        <f>[2]!s_stm07_bs($C$6,"155",S6,1,1000000)</f>
        <v>610276</v>
      </c>
      <c r="T21" s="23">
        <f>[2]!s_stm07_bs($C$6,"155",T6,1,1000000)</f>
        <v>498529</v>
      </c>
      <c r="U21" s="23">
        <f>[2]!s_stm07_bs($C$6,"155",U6,1,1000000)</f>
        <v>501706</v>
      </c>
      <c r="V21" s="23">
        <f>[2]!s_stm07_bs($C$6,"155",V6,1,1000000)</f>
        <v>503087</v>
      </c>
      <c r="W21" s="23">
        <f>[2]!s_stm07_bs($C$6,"155",W6,1,1000000)</f>
        <v>493341</v>
      </c>
      <c r="X21" s="23">
        <f>[2]!s_stm07_bs($C$6,"155",X6,1,1000000)</f>
        <v>477634</v>
      </c>
      <c r="Y21" s="23">
        <f>[2]!s_stm07_bs($C$6,"155",Y6,1,1000000)</f>
        <v>498804</v>
      </c>
      <c r="Z21" s="23">
        <f>[2]!s_stm07_bs($C$6,"155",Z6,1,1000000)</f>
        <v>449092</v>
      </c>
      <c r="AA21" s="23">
        <f>[2]!s_stm07_bs($C$6,"155",AA6,1,1000000)</f>
        <v>461022</v>
      </c>
      <c r="AB21" s="23">
        <f>[2]!s_stm07_bs($C$6,"155",AB6,1,1000000)</f>
        <v>447435</v>
      </c>
      <c r="AC21" s="23">
        <f>[2]!s_stm07_bs($C$6,"155",AC6,1,1000000)</f>
        <v>364715</v>
      </c>
      <c r="AD21" s="23">
        <f>[2]!s_stm07_bs($C$6,"155",AD6,1,1000000)</f>
        <v>369685</v>
      </c>
      <c r="AE21" s="23">
        <f>[2]!s_stm07_bs($C$6,"155",AE6,1,1000000)</f>
        <v>369542</v>
      </c>
      <c r="AF21" s="23">
        <f>[2]!s_stm07_bs($C$6,"155",AF6,1,1000000)</f>
        <v>349056</v>
      </c>
      <c r="AG21" s="23">
        <f>[2]!s_stm07_bs($C$6,"155",AG6,1,1000000)</f>
        <v>324488</v>
      </c>
      <c r="AH21" s="23">
        <f>[2]!s_stm07_bs($C$6,"155",AH6,1,1000000)</f>
        <v>330080</v>
      </c>
      <c r="AI21" s="23">
        <f>[2]!s_stm07_bs($C$6,"155",AI6,1,1000000)</f>
        <v>339002</v>
      </c>
      <c r="AJ21" s="23">
        <f>[2]!s_stm07_bs($C$6,"155",AJ6,1,1000000)</f>
        <v>343417</v>
      </c>
      <c r="AK21" s="23">
        <f>[2]!s_stm07_bs($C$6,"155",AK6,1,1000000)</f>
        <v>331731</v>
      </c>
      <c r="AL21" s="23">
        <f>[2]!s_stm07_bs($C$6,"155",AL6,1,1000000)</f>
        <v>367442</v>
      </c>
      <c r="AM21" s="23">
        <f>[2]!s_stm07_bs($C$6,"155",AM6,1,1000000)</f>
        <v>375282</v>
      </c>
      <c r="AN21" s="23">
        <f>[2]!s_stm07_bs($C$6,"155",AN6,1,1000000)</f>
        <v>369843</v>
      </c>
      <c r="AO21" s="23">
        <f>[2]!s_stm07_bs($C$6,"155",AO6,1,1000000)</f>
        <v>352143</v>
      </c>
      <c r="AP21" s="23">
        <f>[2]!s_stm07_bs($C$6,"155",AP6,1,1000000)</f>
        <v>342623</v>
      </c>
      <c r="AQ21" s="23">
        <f>[2]!s_stm07_bs($C$6,"155",AQ6,1,1000000)</f>
        <v>335503</v>
      </c>
      <c r="AR21" s="23">
        <f>[2]!s_stm07_bs($C$6,"155",AR6,1,1000000)</f>
        <v>327071</v>
      </c>
      <c r="AS21" s="23">
        <f>[2]!s_stm07_bs($C$6,"155",AS6,1,1000000)</f>
        <v>291370</v>
      </c>
      <c r="AT21" s="23">
        <f>[2]!s_stm07_bs($C$6,"155",AT6,1,1000000)</f>
        <v>409635</v>
      </c>
      <c r="AU21" s="24">
        <f t="shared" si="0"/>
        <v>118265</v>
      </c>
      <c r="AV21" s="25">
        <f t="shared" si="1"/>
        <v>3.4218216538394768</v>
      </c>
    </row>
    <row r="22" spans="3:48" ht="13.15" x14ac:dyDescent="0.35">
      <c r="C22" s="26" t="s">
        <v>51</v>
      </c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4">
        <f t="shared" si="0"/>
        <v>0</v>
      </c>
      <c r="AV22" s="25">
        <f t="shared" si="1"/>
        <v>0</v>
      </c>
    </row>
    <row r="23" spans="3:48" ht="13.15" x14ac:dyDescent="0.35">
      <c r="C23" s="26" t="s">
        <v>52</v>
      </c>
      <c r="E23" s="23">
        <f>[2]!s_stm07_bs($C$6,"W43362178",E6,1,1000000)</f>
        <v>6866</v>
      </c>
      <c r="F23" s="23">
        <f>[2]!s_stm07_bs($C$6,"W43362178",F6,1,1000000)</f>
        <v>121</v>
      </c>
      <c r="G23" s="23">
        <f>[2]!s_stm07_bs($C$6,"W43362178",G6,1,1000000)</f>
        <v>125</v>
      </c>
      <c r="H23" s="23">
        <f>[2]!s_stm07_bs($C$6,"W43362178",H6,1,1000000)</f>
        <v>41</v>
      </c>
      <c r="I23" s="23">
        <f>[2]!s_stm07_bs($C$6,"W43362178",I6,1,1000000)</f>
        <v>172</v>
      </c>
      <c r="J23" s="23">
        <f>[2]!s_stm07_bs($C$6,"W43362178",J6,1,1000000)</f>
        <v>33133</v>
      </c>
      <c r="K23" s="23">
        <f>[2]!s_stm07_bs($C$6,"W43362178",K6,1,1000000)</f>
        <v>32995</v>
      </c>
      <c r="L23" s="23">
        <f>[2]!s_stm07_bs($C$6,"W43362178",L6,1,1000000)</f>
        <v>32066</v>
      </c>
      <c r="M23" s="23">
        <f>[2]!s_stm07_bs($C$6,"W43362178",M6,1,1000000)</f>
        <v>28421</v>
      </c>
      <c r="N23" s="23">
        <f>[2]!s_stm07_bs($C$6,"W43362178",N6,1,1000000)</f>
        <v>27408</v>
      </c>
      <c r="O23" s="23">
        <f>[2]!s_stm07_bs($C$6,"W43362178",O6,1,1000000)</f>
        <v>33880</v>
      </c>
      <c r="P23" s="23">
        <f>[2]!s_stm07_bs($C$6,"W43362178",P6,1,1000000)</f>
        <v>35670</v>
      </c>
      <c r="Q23" s="23">
        <f>[2]!s_stm07_bs($C$6,"W43362178",Q6,1,1000000)</f>
        <v>36278</v>
      </c>
      <c r="R23" s="23">
        <f>[2]!s_stm07_bs($C$6,"W43362178",R6,1,1000000)</f>
        <v>35900</v>
      </c>
      <c r="S23" s="23">
        <f>[2]!s_stm07_bs($C$6,"W43362178",S6,1,1000000)</f>
        <v>36220</v>
      </c>
      <c r="T23" s="23">
        <f>[2]!s_stm07_bs($C$6,"W43362178",T6,1,1000000)</f>
        <v>38880</v>
      </c>
      <c r="U23" s="23">
        <f>[2]!s_stm07_bs($C$6,"W43362178",U6,1,1000000)</f>
        <v>40325</v>
      </c>
      <c r="V23" s="23">
        <f>[2]!s_stm07_bs($C$6,"W43362178",V6,1,1000000)</f>
        <v>38643</v>
      </c>
      <c r="W23" s="23">
        <f>[2]!s_stm07_bs($C$6,"W43362178",W6,1,1000000)</f>
        <v>38530</v>
      </c>
      <c r="X23" s="23">
        <f>[2]!s_stm07_bs($C$6,"W43362178",X6,1,1000000)</f>
        <v>33180</v>
      </c>
      <c r="Y23" s="23">
        <f>[2]!s_stm07_bs($C$6,"W43362178",Y6,1,1000000)</f>
        <v>32750</v>
      </c>
      <c r="Z23" s="23">
        <f>[2]!s_stm07_bs($C$6,"W43362178",Z6,1,1000000)</f>
        <v>34409</v>
      </c>
      <c r="AA23" s="23">
        <f>[2]!s_stm07_bs($C$6,"W43362178",AA6,1,1000000)</f>
        <v>32313</v>
      </c>
      <c r="AB23" s="23">
        <f>[2]!s_stm07_bs($C$6,"W43362178",AB6,1,1000000)</f>
        <v>33246</v>
      </c>
      <c r="AC23" s="23">
        <f>[2]!s_stm07_bs($C$6,"W43362178",AC6,1,1000000)</f>
        <v>33284</v>
      </c>
      <c r="AD23" s="23">
        <f>[2]!s_stm07_bs($C$6,"W43362178",AD6,1,1000000)</f>
        <v>31074</v>
      </c>
      <c r="AE23" s="23">
        <f>[2]!s_stm07_bs($C$6,"W43362178",AE6,1,1000000)</f>
        <v>28983</v>
      </c>
      <c r="AF23" s="23">
        <f>[2]!s_stm07_bs($C$6,"W43362178",AF6,1,1000000)</f>
        <v>28534</v>
      </c>
      <c r="AG23" s="23">
        <f>[2]!s_stm07_bs($C$6,"W43362178",AG6,1,1000000)</f>
        <v>28515</v>
      </c>
      <c r="AH23" s="23">
        <f>[2]!s_stm07_bs($C$6,"W43362178",AH6,1,1000000)</f>
        <v>29899</v>
      </c>
      <c r="AI23" s="23">
        <f>[2]!s_stm07_bs($C$6,"W43362178",AI6,1,1000000)</f>
        <v>30291</v>
      </c>
      <c r="AJ23" s="23">
        <f>[2]!s_stm07_bs($C$6,"W43362178",AJ6,1,1000000)</f>
        <v>28860</v>
      </c>
      <c r="AK23" s="23">
        <f>[2]!s_stm07_bs($C$6,"W43362178",AK6,1,1000000)</f>
        <v>28919</v>
      </c>
      <c r="AL23" s="23">
        <f>[2]!s_stm07_bs($C$6,"W43362178",AL6,1,1000000)</f>
        <v>27408</v>
      </c>
      <c r="AM23" s="23">
        <f>[2]!s_stm07_bs($C$6,"W43362178",AM6,1,1000000)</f>
        <v>27577</v>
      </c>
      <c r="AN23" s="23">
        <f>[2]!s_stm07_bs($C$6,"W43362178",AN6,1,1000000)</f>
        <v>25590</v>
      </c>
      <c r="AO23" s="23">
        <f>[2]!s_stm07_bs($C$6,"W43362178",AO6,1,1000000)</f>
        <v>24185</v>
      </c>
      <c r="AP23" s="23">
        <f>[2]!s_stm07_bs($C$6,"W43362178",AP6,1,1000000)</f>
        <v>25213</v>
      </c>
      <c r="AQ23" s="23">
        <f>[2]!s_stm07_bs($C$6,"W43362178",AQ6,1,1000000)</f>
        <v>26096</v>
      </c>
      <c r="AR23" s="23">
        <f>[2]!s_stm07_bs($C$6,"W43362178",AR6,1,1000000)</f>
        <v>28101</v>
      </c>
      <c r="AS23" s="23">
        <f>[2]!s_stm07_bs($C$6,"W43362178",AS6,1,1000000)</f>
        <v>30077</v>
      </c>
      <c r="AT23" s="23">
        <f>[2]!s_stm07_bs($C$6,"W43362178",AT6,1,1000000)</f>
        <v>30830</v>
      </c>
      <c r="AU23" s="24">
        <f t="shared" si="0"/>
        <v>753</v>
      </c>
      <c r="AV23" s="25">
        <f t="shared" si="1"/>
        <v>2.1786933626526242E-2</v>
      </c>
    </row>
    <row r="24" spans="3:48" ht="13.15" x14ac:dyDescent="0.35">
      <c r="C24" s="26" t="s">
        <v>53</v>
      </c>
      <c r="E24" s="23">
        <f>[2]!s_stm07_bs($C$6,"W44672706",E6,1,1000000)</f>
        <v>106768</v>
      </c>
      <c r="F24" s="23">
        <f>[2]!s_stm07_bs($C$6,"W44672706",F6,1,1000000)</f>
        <v>81104</v>
      </c>
      <c r="G24" s="23">
        <f>[2]!s_stm07_bs($C$6,"W44672706",G6,1,1000000)</f>
        <v>77713</v>
      </c>
      <c r="H24" s="23">
        <f>[2]!s_stm07_bs($C$6,"W44672706",H6,1,1000000)</f>
        <v>76946</v>
      </c>
      <c r="I24" s="23">
        <f>[2]!s_stm07_bs($C$6,"W44672706",I6,1,1000000)</f>
        <v>79146</v>
      </c>
      <c r="J24" s="23">
        <f>[2]!s_stm07_bs($C$6,"W44672706",J6,1,1000000)</f>
        <v>78019</v>
      </c>
      <c r="K24" s="23">
        <f>[2]!s_stm07_bs($C$6,"W44672706",K6,1,1000000)</f>
        <v>77292</v>
      </c>
      <c r="L24" s="23">
        <f>[2]!s_stm07_bs($C$6,"W44672706",L6,1,1000000)</f>
        <v>77695</v>
      </c>
      <c r="M24" s="23">
        <f>[2]!s_stm07_bs($C$6,"W44672706",M6,1,1000000)</f>
        <v>84948</v>
      </c>
      <c r="N24" s="23">
        <f>[2]!s_stm07_bs($C$6,"W44672706",N6,1,1000000)</f>
        <v>83384</v>
      </c>
      <c r="O24" s="23">
        <f>[2]!s_stm07_bs($C$6,"W44672706",O6,1,1000000)</f>
        <v>82467</v>
      </c>
      <c r="P24" s="23">
        <f>[2]!s_stm07_bs($C$6,"W44672706",P6,1,1000000)</f>
        <v>82971</v>
      </c>
      <c r="Q24" s="23">
        <f>[2]!s_stm07_bs($C$6,"W44672706",Q6,1,1000000)</f>
        <v>93319</v>
      </c>
      <c r="R24" s="23">
        <f>[2]!s_stm07_bs($C$6,"W44672706",R6,1,1000000)</f>
        <v>92995</v>
      </c>
      <c r="S24" s="23">
        <f>[2]!s_stm07_bs($C$6,"W44672706",S6,1,1000000)</f>
        <v>92044</v>
      </c>
      <c r="T24" s="23">
        <f>[2]!s_stm07_bs($C$6,"W44672706",T6,1,1000000)</f>
        <v>92632</v>
      </c>
      <c r="U24" s="23">
        <f>[2]!s_stm07_bs($C$6,"W44672706",U6,1,1000000)</f>
        <v>100839</v>
      </c>
      <c r="V24" s="23">
        <f>[2]!s_stm07_bs($C$6,"W44672706",V6,1,1000000)</f>
        <v>98754</v>
      </c>
      <c r="W24" s="23">
        <f>[2]!s_stm07_bs($C$6,"W44672706",W6,1,1000000)</f>
        <v>101408</v>
      </c>
      <c r="X24" s="23">
        <f>[2]!s_stm07_bs($C$6,"W44672706",X6,1,1000000)</f>
        <v>106041</v>
      </c>
      <c r="Y24" s="23">
        <f>[2]!s_stm07_bs($C$6,"W44672706",Y6,1,1000000)</f>
        <v>116300</v>
      </c>
      <c r="Z24" s="23">
        <f>[2]!s_stm07_bs($C$6,"W44672706",Z6,1,1000000)</f>
        <v>115844</v>
      </c>
      <c r="AA24" s="23">
        <f>[2]!s_stm07_bs($C$6,"W44672706",AA6,1,1000000)</f>
        <v>117969</v>
      </c>
      <c r="AB24" s="23">
        <f>[2]!s_stm07_bs($C$6,"W44672706",AB6,1,1000000)</f>
        <v>121011</v>
      </c>
      <c r="AC24" s="23">
        <f>[2]!s_stm07_bs($C$6,"W44672706",AC6,1,1000000)</f>
        <v>132879</v>
      </c>
      <c r="AD24" s="23">
        <f>[2]!s_stm07_bs($C$6,"W44672706",AD6,1,1000000)</f>
        <v>135092</v>
      </c>
      <c r="AE24" s="23">
        <f>[2]!s_stm07_bs($C$6,"W44672706",AE6,1,1000000)</f>
        <v>139977</v>
      </c>
      <c r="AF24" s="23">
        <f>[2]!s_stm07_bs($C$6,"W44672706",AF6,1,1000000)</f>
        <v>144973</v>
      </c>
      <c r="AG24" s="23">
        <f>[2]!s_stm07_bs($C$6,"W44672706",AG6,1,1000000)</f>
        <v>160704</v>
      </c>
      <c r="AH24" s="23">
        <f>[2]!s_stm07_bs($C$6,"W44672706",AH6,1,1000000)</f>
        <v>164405</v>
      </c>
      <c r="AI24" s="23">
        <f>[2]!s_stm07_bs($C$6,"W44672706",AI6,1,1000000)</f>
        <v>171910</v>
      </c>
      <c r="AJ24" s="23">
        <f>[2]!s_stm07_bs($C$6,"W44672706",AJ6,1,1000000)</f>
        <v>175857</v>
      </c>
      <c r="AK24" s="23">
        <f>[2]!s_stm07_bs($C$6,"W44672706",AK6,1,1000000)</f>
        <v>196238</v>
      </c>
      <c r="AL24" s="23">
        <f>[2]!s_stm07_bs($C$6,"W44672706",AL6,1,1000000)</f>
        <v>194651</v>
      </c>
      <c r="AM24" s="23">
        <f>[2]!s_stm07_bs($C$6,"W44672706",AM6,1,1000000)</f>
        <v>204713</v>
      </c>
      <c r="AN24" s="23">
        <f>[2]!s_stm07_bs($C$6,"W44672706",AN6,1,1000000)</f>
        <v>211160</v>
      </c>
      <c r="AO24" s="23">
        <f>[2]!s_stm07_bs($C$6,"W44672706",AO6,1,1000000)</f>
        <v>221502</v>
      </c>
      <c r="AP24" s="23">
        <f>[2]!s_stm07_bs($C$6,"W44672706",AP6,1,1000000)</f>
        <v>221087</v>
      </c>
      <c r="AQ24" s="23">
        <f>[2]!s_stm07_bs($C$6,"W44672706",AQ6,1,1000000)</f>
        <v>224447</v>
      </c>
      <c r="AR24" s="23">
        <f>[2]!s_stm07_bs($C$6,"W44672706",AR6,1,1000000)</f>
        <v>230550</v>
      </c>
      <c r="AS24" s="23">
        <f>[2]!s_stm07_bs($C$6,"W44672706",AS6,1,1000000)</f>
        <v>243619</v>
      </c>
      <c r="AT24" s="23">
        <f>[2]!s_stm07_bs($C$6,"W44672706",AT6,1,1000000)</f>
        <v>243603</v>
      </c>
      <c r="AU24" s="24">
        <f t="shared" si="0"/>
        <v>-16</v>
      </c>
      <c r="AV24" s="25">
        <f t="shared" si="1"/>
        <v>-4.629361726751924E-4</v>
      </c>
    </row>
    <row r="25" spans="3:48" ht="13.15" x14ac:dyDescent="0.35">
      <c r="C25" s="27" t="s">
        <v>54</v>
      </c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4">
        <f t="shared" si="0"/>
        <v>0</v>
      </c>
      <c r="AV25" s="25">
        <f t="shared" si="1"/>
        <v>0</v>
      </c>
    </row>
    <row r="26" spans="3:48" ht="13.15" x14ac:dyDescent="0.35">
      <c r="C26" s="27" t="s">
        <v>55</v>
      </c>
      <c r="E26" s="23">
        <f>[2]!s_stm07_bs($C$6,"W45280150",E6,1,1000000)</f>
        <v>0</v>
      </c>
      <c r="F26" s="23">
        <f>[2]!s_stm07_bs($C$6,"W45280150",F6,1,1000000)</f>
        <v>0</v>
      </c>
      <c r="G26" s="23">
        <f>[2]!s_stm07_bs($C$6,"W45280150",G6,1,1000000)</f>
        <v>0</v>
      </c>
      <c r="H26" s="23">
        <f>[2]!s_stm07_bs($C$6,"W45280150",H6,1,1000000)</f>
        <v>0</v>
      </c>
      <c r="I26" s="23">
        <f>[2]!s_stm07_bs($C$6,"W45280150",I6,1,1000000)</f>
        <v>0</v>
      </c>
      <c r="J26" s="23">
        <f>[2]!s_stm07_bs($C$6,"W45280150",J6,1,1000000)</f>
        <v>0</v>
      </c>
      <c r="K26" s="23">
        <f>[2]!s_stm07_bs($C$6,"W45280150",K6,1,1000000)</f>
        <v>0</v>
      </c>
      <c r="L26" s="23">
        <f>[2]!s_stm07_bs($C$6,"W45280150",L6,1,1000000)</f>
        <v>0</v>
      </c>
      <c r="M26" s="23">
        <f>[2]!s_stm07_bs($C$6,"W45280150",M6,1,1000000)</f>
        <v>0</v>
      </c>
      <c r="N26" s="23">
        <f>[2]!s_stm07_bs($C$6,"W45280150",N6,1,1000000)</f>
        <v>0</v>
      </c>
      <c r="O26" s="23">
        <f>[2]!s_stm07_bs($C$6,"W45280150",O6,1,1000000)</f>
        <v>0</v>
      </c>
      <c r="P26" s="23">
        <f>[2]!s_stm07_bs($C$6,"W45280150",P6,1,1000000)</f>
        <v>0</v>
      </c>
      <c r="Q26" s="23">
        <f>[2]!s_stm07_bs($C$6,"W45280150",Q6,1,1000000)</f>
        <v>0</v>
      </c>
      <c r="R26" s="23">
        <f>[2]!s_stm07_bs($C$6,"W45280150",R6,1,1000000)</f>
        <v>0</v>
      </c>
      <c r="S26" s="23">
        <f>[2]!s_stm07_bs($C$6,"W45280150",S6,1,1000000)</f>
        <v>0</v>
      </c>
      <c r="T26" s="23">
        <f>[2]!s_stm07_bs($C$6,"W45280150",T6,1,1000000)</f>
        <v>0</v>
      </c>
      <c r="U26" s="23">
        <f>[2]!s_stm07_bs($C$6,"W45280150",U6,1,1000000)</f>
        <v>0</v>
      </c>
      <c r="V26" s="23">
        <f>[2]!s_stm07_bs($C$6,"W45280150",V6,1,1000000)</f>
        <v>0</v>
      </c>
      <c r="W26" s="23">
        <f>[2]!s_stm07_bs($C$6,"W45280150",W6,1,1000000)</f>
        <v>0</v>
      </c>
      <c r="X26" s="23">
        <f>[2]!s_stm07_bs($C$6,"W45280150",X6,1,1000000)</f>
        <v>0</v>
      </c>
      <c r="Y26" s="23">
        <f>[2]!s_stm07_bs($C$6,"W45280150",Y6,1,1000000)</f>
        <v>0</v>
      </c>
      <c r="Z26" s="23">
        <f>[2]!s_stm07_bs($C$6,"W45280150",Z6,1,1000000)</f>
        <v>0</v>
      </c>
      <c r="AA26" s="23">
        <f>[2]!s_stm07_bs($C$6,"W45280150",AA6,1,1000000)</f>
        <v>0</v>
      </c>
      <c r="AB26" s="23">
        <f>[2]!s_stm07_bs($C$6,"W45280150",AB6,1,1000000)</f>
        <v>0</v>
      </c>
      <c r="AC26" s="23">
        <f>[2]!s_stm07_bs($C$6,"W45280150",AC6,1,1000000)</f>
        <v>0</v>
      </c>
      <c r="AD26" s="23">
        <f>[2]!s_stm07_bs($C$6,"W45280150",AD6,1,1000000)</f>
        <v>0</v>
      </c>
      <c r="AE26" s="23">
        <f>[2]!s_stm07_bs($C$6,"W45280150",AE6,1,1000000)</f>
        <v>0</v>
      </c>
      <c r="AF26" s="23">
        <f>[2]!s_stm07_bs($C$6,"W45280150",AF6,1,1000000)</f>
        <v>0</v>
      </c>
      <c r="AG26" s="23">
        <f>[2]!s_stm07_bs($C$6,"W45280150",AG6,1,1000000)</f>
        <v>0</v>
      </c>
      <c r="AH26" s="23">
        <f>[2]!s_stm07_bs($C$6,"W45280150",AH6,1,1000000)</f>
        <v>0</v>
      </c>
      <c r="AI26" s="23">
        <f>[2]!s_stm07_bs($C$6,"W45280150",AI6,1,1000000)</f>
        <v>0</v>
      </c>
      <c r="AJ26" s="23">
        <f>[2]!s_stm07_bs($C$6,"W45280150",AJ6,1,1000000)</f>
        <v>0</v>
      </c>
      <c r="AK26" s="23">
        <f>[2]!s_stm07_bs($C$6,"W45280150",AK6,1,1000000)</f>
        <v>0</v>
      </c>
      <c r="AL26" s="23">
        <f>[2]!s_stm07_bs($C$6,"W45280150",AL6,1,1000000)</f>
        <v>0</v>
      </c>
      <c r="AM26" s="23">
        <f>[2]!s_stm07_bs($C$6,"W45280150",AM6,1,1000000)</f>
        <v>0</v>
      </c>
      <c r="AN26" s="23">
        <f>[2]!s_stm07_bs($C$6,"W45280150",AN6,1,1000000)</f>
        <v>0</v>
      </c>
      <c r="AO26" s="23">
        <f>[2]!s_stm07_bs($C$6,"W45280150",AO6,1,1000000)</f>
        <v>0</v>
      </c>
      <c r="AP26" s="23">
        <f>[2]!s_stm07_bs($C$6,"W45280150",AP6,1,1000000)</f>
        <v>0</v>
      </c>
      <c r="AQ26" s="23">
        <f>[2]!s_stm07_bs($C$6,"W45280150",AQ6,1,1000000)</f>
        <v>0</v>
      </c>
      <c r="AR26" s="23">
        <f>[2]!s_stm07_bs($C$6,"W45280150",AR6,1,1000000)</f>
        <v>0</v>
      </c>
      <c r="AS26" s="23">
        <f>[2]!s_stm07_bs($C$6,"W45280150",AS6,1,1000000)</f>
        <v>0</v>
      </c>
      <c r="AT26" s="23">
        <f>[2]!s_stm07_bs($C$6,"W45280150",AT6,1,1000000)</f>
        <v>0</v>
      </c>
      <c r="AU26" s="24">
        <f t="shared" si="0"/>
        <v>0</v>
      </c>
      <c r="AV26" s="25">
        <f t="shared" si="1"/>
        <v>0</v>
      </c>
    </row>
    <row r="27" spans="3:48" ht="13.15" x14ac:dyDescent="0.35">
      <c r="C27" s="27" t="s">
        <v>56</v>
      </c>
      <c r="E27" s="23">
        <f>[2]!s_stm07_bs_39($C$6,E6,1,1000000)</f>
        <v>0</v>
      </c>
      <c r="F27" s="23">
        <f>[2]!s_stm07_bs_39($C$6,F6,1,1000000)</f>
        <v>0</v>
      </c>
      <c r="G27" s="23">
        <f>[2]!s_stm07_bs_39($C$6,G6,1,1000000)</f>
        <v>0</v>
      </c>
      <c r="H27" s="23">
        <f>[2]!s_stm07_bs_39($C$6,H6,1,1000000)</f>
        <v>0</v>
      </c>
      <c r="I27" s="23">
        <f>[2]!s_stm07_bs_39($C$6,I6,1,1000000)</f>
        <v>0</v>
      </c>
      <c r="J27" s="23">
        <f>[2]!s_stm07_bs_39($C$6,J6,1,1000000)</f>
        <v>0</v>
      </c>
      <c r="K27" s="23">
        <f>[2]!s_stm07_bs_39($C$6,K6,1,1000000)</f>
        <v>0</v>
      </c>
      <c r="L27" s="23">
        <f>[2]!s_stm07_bs_39($C$6,L6,1,1000000)</f>
        <v>0</v>
      </c>
      <c r="M27" s="23">
        <f>[2]!s_stm07_bs_39($C$6,M6,1,1000000)</f>
        <v>0</v>
      </c>
      <c r="N27" s="23">
        <f>[2]!s_stm07_bs_39($C$6,N6,1,1000000)</f>
        <v>0</v>
      </c>
      <c r="O27" s="23">
        <f>[2]!s_stm07_bs_39($C$6,O6,1,1000000)</f>
        <v>0</v>
      </c>
      <c r="P27" s="23">
        <f>[2]!s_stm07_bs_39($C$6,P6,1,1000000)</f>
        <v>0</v>
      </c>
      <c r="Q27" s="23">
        <f>[2]!s_stm07_bs_39($C$6,Q6,1,1000000)</f>
        <v>0</v>
      </c>
      <c r="R27" s="23">
        <f>[2]!s_stm07_bs_39($C$6,R6,1,1000000)</f>
        <v>0</v>
      </c>
      <c r="S27" s="23">
        <f>[2]!s_stm07_bs_39($C$6,S6,1,1000000)</f>
        <v>0</v>
      </c>
      <c r="T27" s="23">
        <f>[2]!s_stm07_bs_39($C$6,T6,1,1000000)</f>
        <v>0</v>
      </c>
      <c r="U27" s="23">
        <f>[2]!s_stm07_bs_39($C$6,U6,1,1000000)</f>
        <v>0</v>
      </c>
      <c r="V27" s="23">
        <f>[2]!s_stm07_bs_39($C$6,V6,1,1000000)</f>
        <v>0</v>
      </c>
      <c r="W27" s="23">
        <f>[2]!s_stm07_bs_39($C$6,W6,1,1000000)</f>
        <v>0</v>
      </c>
      <c r="X27" s="23">
        <f>[2]!s_stm07_bs_39($C$6,X6,1,1000000)</f>
        <v>0</v>
      </c>
      <c r="Y27" s="23">
        <f>[2]!s_stm07_bs_39($C$6,Y6,1,1000000)</f>
        <v>0</v>
      </c>
      <c r="Z27" s="23">
        <f>[2]!s_stm07_bs_39($C$6,Z6,1,1000000)</f>
        <v>0</v>
      </c>
      <c r="AA27" s="23">
        <f>[2]!s_stm07_bs_39($C$6,AA6,1,1000000)</f>
        <v>0</v>
      </c>
      <c r="AB27" s="23">
        <f>[2]!s_stm07_bs_39($C$6,AB6,1,1000000)</f>
        <v>0</v>
      </c>
      <c r="AC27" s="23">
        <f>[2]!s_stm07_bs_39($C$6,AC6,1,1000000)</f>
        <v>0</v>
      </c>
      <c r="AD27" s="23">
        <f>[2]!s_stm07_bs_39($C$6,AD6,1,1000000)</f>
        <v>0</v>
      </c>
      <c r="AE27" s="23">
        <f>[2]!s_stm07_bs_39($C$6,AE6,1,1000000)</f>
        <v>0</v>
      </c>
      <c r="AF27" s="23">
        <f>[2]!s_stm07_bs_39($C$6,AF6,1,1000000)</f>
        <v>0</v>
      </c>
      <c r="AG27" s="23">
        <f>[2]!s_stm07_bs_39($C$6,AG6,1,1000000)</f>
        <v>0</v>
      </c>
      <c r="AH27" s="23">
        <f>[2]!s_stm07_bs_39($C$6,AH6,1,1000000)</f>
        <v>0</v>
      </c>
      <c r="AI27" s="23">
        <f>[2]!s_stm07_bs_39($C$6,AI6,1,1000000)</f>
        <v>0</v>
      </c>
      <c r="AJ27" s="23">
        <f>[2]!s_stm07_bs_39($C$6,AJ6,1,1000000)</f>
        <v>0</v>
      </c>
      <c r="AK27" s="23">
        <f>[2]!s_stm07_bs_39($C$6,AK6,1,1000000)</f>
        <v>0</v>
      </c>
      <c r="AL27" s="23">
        <f>[2]!s_stm07_bs_39($C$6,AL6,1,1000000)</f>
        <v>0</v>
      </c>
      <c r="AM27" s="23">
        <f>[2]!s_stm07_bs_39($C$6,AM6,1,1000000)</f>
        <v>0</v>
      </c>
      <c r="AN27" s="23">
        <f>[2]!s_stm07_bs_39($C$6,AN6,1,1000000)</f>
        <v>0</v>
      </c>
      <c r="AO27" s="23">
        <f>[2]!s_stm07_bs_39($C$6,AO6,1,1000000)</f>
        <v>0</v>
      </c>
      <c r="AP27" s="23">
        <f>[2]!s_stm07_bs_39($C$6,AP6,1,1000000)</f>
        <v>0</v>
      </c>
      <c r="AQ27" s="23">
        <f>[2]!s_stm07_bs_39($C$6,AQ6,1,1000000)</f>
        <v>0</v>
      </c>
      <c r="AR27" s="23">
        <f>[2]!s_stm07_bs_39($C$6,AR6,1,1000000)</f>
        <v>0</v>
      </c>
      <c r="AS27" s="23">
        <f>[2]!s_stm07_bs_39($C$6,AS6,1,1000000)</f>
        <v>0</v>
      </c>
      <c r="AT27" s="23">
        <f>[2]!s_stm07_bs_39($C$6,AT6,1,1000000)</f>
        <v>0</v>
      </c>
      <c r="AU27" s="24">
        <f t="shared" si="0"/>
        <v>0</v>
      </c>
      <c r="AV27" s="25">
        <f t="shared" si="1"/>
        <v>0</v>
      </c>
    </row>
    <row r="28" spans="3:48" ht="13.15" x14ac:dyDescent="0.35">
      <c r="C28" s="27" t="s">
        <v>57</v>
      </c>
      <c r="E28" s="23">
        <f>[2]!s_stm07_bs($C$6,"W41861522",E6,1,1000000)</f>
        <v>0</v>
      </c>
      <c r="F28" s="23">
        <f>[2]!s_stm07_bs($C$6,"W41861522",F6,1,1000000)</f>
        <v>1349</v>
      </c>
      <c r="G28" s="23">
        <f>[2]!s_stm07_bs($C$6,"W41861522",G6,1,1000000)</f>
        <v>2424</v>
      </c>
      <c r="H28" s="23">
        <f>[2]!s_stm07_bs($C$6,"W41861522",H6,1,1000000)</f>
        <v>2363</v>
      </c>
      <c r="I28" s="23">
        <f>[2]!s_stm07_bs($C$6,"W41861522",I6,1,1000000)</f>
        <v>5865</v>
      </c>
      <c r="J28" s="23">
        <f>[2]!s_stm07_bs($C$6,"W41861522",J6,1,1000000)</f>
        <v>5782</v>
      </c>
      <c r="K28" s="23">
        <f>[2]!s_stm07_bs($C$6,"W41861522",K6,1,1000000)</f>
        <v>7150</v>
      </c>
      <c r="L28" s="23">
        <f>[2]!s_stm07_bs($C$6,"W41861522",L6,1,1000000)</f>
        <v>9081</v>
      </c>
      <c r="M28" s="23">
        <f>[2]!s_stm07_bs($C$6,"W41861522",M6,1,1000000)</f>
        <v>10775</v>
      </c>
      <c r="N28" s="23">
        <f>[2]!s_stm07_bs($C$6,"W41861522",N6,1,1000000)</f>
        <v>8634</v>
      </c>
      <c r="O28" s="23">
        <f>[2]!s_stm07_bs($C$6,"W41861522",O6,1,1000000)</f>
        <v>11390</v>
      </c>
      <c r="P28" s="23">
        <f>[2]!s_stm07_bs($C$6,"W41861522",P6,1,1000000)</f>
        <v>20786</v>
      </c>
      <c r="Q28" s="23">
        <f>[2]!s_stm07_bs($C$6,"W41861522",Q6,1,1000000)</f>
        <v>18696</v>
      </c>
      <c r="R28" s="23">
        <f>[2]!s_stm07_bs($C$6,"W41861522",R6,1,1000000)</f>
        <v>15944</v>
      </c>
      <c r="S28" s="23">
        <f>[2]!s_stm07_bs($C$6,"W41861522",S6,1,1000000)</f>
        <v>17276</v>
      </c>
      <c r="T28" s="23">
        <f>[2]!s_stm07_bs($C$6,"W41861522",T6,1,1000000)</f>
        <v>17535</v>
      </c>
      <c r="U28" s="23">
        <f>[2]!s_stm07_bs($C$6,"W41861522",U6,1,1000000)</f>
        <v>21712</v>
      </c>
      <c r="V28" s="23">
        <f>[2]!s_stm07_bs($C$6,"W41861522",V6,1,1000000)</f>
        <v>22708</v>
      </c>
      <c r="W28" s="23">
        <f>[2]!s_stm07_bs($C$6,"W41861522",W6,1,1000000)</f>
        <v>20949</v>
      </c>
      <c r="X28" s="23">
        <f>[2]!s_stm07_bs($C$6,"W41861522",X6,1,1000000)</f>
        <v>23386</v>
      </c>
      <c r="Y28" s="23">
        <f>[2]!s_stm07_bs($C$6,"W41861522",Y6,1,1000000)</f>
        <v>21938</v>
      </c>
      <c r="Z28" s="23">
        <f>[2]!s_stm07_bs($C$6,"W41861522",Z6,1,1000000)</f>
        <v>22003</v>
      </c>
      <c r="AA28" s="23">
        <f>[2]!s_stm07_bs($C$6,"W41861522",AA6,1,1000000)</f>
        <v>21348</v>
      </c>
      <c r="AB28" s="23">
        <f>[2]!s_stm07_bs($C$6,"W41861522",AB6,1,1000000)</f>
        <v>19587</v>
      </c>
      <c r="AC28" s="23">
        <f>[2]!s_stm07_bs($C$6,"W41861522",AC6,1,1000000)</f>
        <v>22789</v>
      </c>
      <c r="AD28" s="23">
        <f>[2]!s_stm07_bs($C$6,"W41861522",AD6,1,1000000)</f>
        <v>20860</v>
      </c>
      <c r="AE28" s="23">
        <f>[2]!s_stm07_bs($C$6,"W41861522",AE6,1,1000000)</f>
        <v>21877</v>
      </c>
      <c r="AF28" s="23">
        <f>[2]!s_stm07_bs($C$6,"W41861522",AF6,1,1000000)</f>
        <v>24401</v>
      </c>
      <c r="AG28" s="23">
        <f>[2]!s_stm07_bs($C$6,"W41861522",AG6,1,1000000)</f>
        <v>28860</v>
      </c>
      <c r="AH28" s="23">
        <f>[2]!s_stm07_bs($C$6,"W41861522",AH6,1,1000000)</f>
        <v>25805</v>
      </c>
      <c r="AI28" s="23">
        <f>[2]!s_stm07_bs($C$6,"W41861522",AI6,1,1000000)</f>
        <v>21480</v>
      </c>
      <c r="AJ28" s="23">
        <f>[2]!s_stm07_bs($C$6,"W41861522",AJ6,1,1000000)</f>
        <v>19553</v>
      </c>
      <c r="AK28" s="23">
        <f>[2]!s_stm07_bs($C$6,"W41861522",AK6,1,1000000)</f>
        <v>24758</v>
      </c>
      <c r="AL28" s="23">
        <f>[2]!s_stm07_bs($C$6,"W41861522",AL6,1,1000000)</f>
        <v>24665</v>
      </c>
      <c r="AM28" s="23">
        <f>[2]!s_stm07_bs($C$6,"W41861522",AM6,1,1000000)</f>
        <v>22037</v>
      </c>
      <c r="AN28" s="23">
        <f>[2]!s_stm07_bs($C$6,"W41861522",AN6,1,1000000)</f>
        <v>19288</v>
      </c>
      <c r="AO28" s="23">
        <f>[2]!s_stm07_bs($C$6,"W41861522",AO6,1,1000000)</f>
        <v>21066</v>
      </c>
      <c r="AP28" s="23">
        <f>[2]!s_stm07_bs($C$6,"W41861522",AP6,1,1000000)</f>
        <v>18619</v>
      </c>
      <c r="AQ28" s="23">
        <f>[2]!s_stm07_bs($C$6,"W41861522",AQ6,1,1000000)</f>
        <v>17265</v>
      </c>
      <c r="AR28" s="23">
        <f>[2]!s_stm07_bs($C$6,"W41861522",AR6,1,1000000)</f>
        <v>15158</v>
      </c>
      <c r="AS28" s="23">
        <f>[2]!s_stm07_bs($C$6,"W41861522",AS6,1,1000000)</f>
        <v>28398</v>
      </c>
      <c r="AT28" s="23">
        <f>[2]!s_stm07_bs($C$6,"W41861522",AT6,1,1000000)</f>
        <v>31109</v>
      </c>
      <c r="AU28" s="24">
        <f t="shared" si="0"/>
        <v>2711</v>
      </c>
      <c r="AV28" s="25">
        <f t="shared" si="1"/>
        <v>7.8438747757652916E-2</v>
      </c>
    </row>
    <row r="29" spans="3:48" ht="13.15" x14ac:dyDescent="0.35">
      <c r="C29" s="27" t="s">
        <v>58</v>
      </c>
      <c r="E29" s="28">
        <f>E30-SUM(E10:E28)</f>
        <v>2901586</v>
      </c>
      <c r="F29" s="28">
        <f t="shared" ref="F29:AS29" si="2">F30-SUM(F10:F28)</f>
        <v>98675</v>
      </c>
      <c r="G29" s="28">
        <f t="shared" si="2"/>
        <v>103602</v>
      </c>
      <c r="H29" s="28">
        <f t="shared" si="2"/>
        <v>103554</v>
      </c>
      <c r="I29" s="28">
        <f t="shared" si="2"/>
        <v>93396</v>
      </c>
      <c r="J29" s="28">
        <f t="shared" si="2"/>
        <v>150094</v>
      </c>
      <c r="K29" s="28">
        <f t="shared" si="2"/>
        <v>118746</v>
      </c>
      <c r="L29" s="28">
        <f t="shared" si="2"/>
        <v>116096</v>
      </c>
      <c r="M29" s="28">
        <f t="shared" si="2"/>
        <v>105749</v>
      </c>
      <c r="N29" s="28">
        <f t="shared" si="2"/>
        <v>115388</v>
      </c>
      <c r="O29" s="28">
        <f t="shared" si="2"/>
        <v>112085</v>
      </c>
      <c r="P29" s="28">
        <f t="shared" si="2"/>
        <v>118185</v>
      </c>
      <c r="Q29" s="28">
        <f t="shared" si="2"/>
        <v>108781</v>
      </c>
      <c r="R29" s="28">
        <f t="shared" si="2"/>
        <v>131132</v>
      </c>
      <c r="S29" s="28">
        <f t="shared" si="2"/>
        <v>128089</v>
      </c>
      <c r="T29" s="28">
        <f t="shared" si="2"/>
        <v>152239</v>
      </c>
      <c r="U29" s="28">
        <f t="shared" si="2"/>
        <v>122462</v>
      </c>
      <c r="V29" s="28">
        <f t="shared" si="2"/>
        <v>157664</v>
      </c>
      <c r="W29" s="28">
        <f t="shared" si="2"/>
        <v>155830</v>
      </c>
      <c r="X29" s="28">
        <f t="shared" si="2"/>
        <v>157434</v>
      </c>
      <c r="Y29" s="28">
        <f t="shared" si="2"/>
        <v>149933</v>
      </c>
      <c r="Z29" s="28">
        <f t="shared" si="2"/>
        <v>188900</v>
      </c>
      <c r="AA29" s="28">
        <f t="shared" si="2"/>
        <v>204920</v>
      </c>
      <c r="AB29" s="28">
        <f t="shared" si="2"/>
        <v>208866</v>
      </c>
      <c r="AC29" s="28">
        <f t="shared" si="2"/>
        <v>260003</v>
      </c>
      <c r="AD29" s="28">
        <f t="shared" si="2"/>
        <v>324559</v>
      </c>
      <c r="AE29" s="28">
        <f t="shared" si="2"/>
        <v>478684</v>
      </c>
      <c r="AF29" s="28">
        <f t="shared" si="2"/>
        <v>281127</v>
      </c>
      <c r="AG29" s="28">
        <f t="shared" si="2"/>
        <v>265279</v>
      </c>
      <c r="AH29" s="28">
        <f t="shared" si="2"/>
        <v>320090</v>
      </c>
      <c r="AI29" s="28">
        <f t="shared" si="2"/>
        <v>302531</v>
      </c>
      <c r="AJ29" s="28">
        <f t="shared" si="2"/>
        <v>273818</v>
      </c>
      <c r="AK29" s="28">
        <f t="shared" si="2"/>
        <v>263193</v>
      </c>
      <c r="AL29" s="28">
        <f t="shared" si="2"/>
        <v>310758</v>
      </c>
      <c r="AM29" s="28">
        <f t="shared" si="2"/>
        <v>281662</v>
      </c>
      <c r="AN29" s="28">
        <f t="shared" si="2"/>
        <v>318858</v>
      </c>
      <c r="AO29" s="28">
        <f t="shared" si="2"/>
        <v>347004</v>
      </c>
      <c r="AP29" s="28">
        <f t="shared" si="2"/>
        <v>392672</v>
      </c>
      <c r="AQ29" s="28">
        <f t="shared" si="2"/>
        <v>395777</v>
      </c>
      <c r="AR29" s="28">
        <f t="shared" si="2"/>
        <v>413432</v>
      </c>
      <c r="AS29" s="28">
        <f t="shared" si="2"/>
        <v>368232</v>
      </c>
      <c r="AT29" s="28">
        <f>AT30-SUM(AT10:AT28)</f>
        <v>397479</v>
      </c>
      <c r="AU29" s="24">
        <f t="shared" si="0"/>
        <v>29247</v>
      </c>
      <c r="AV29" s="25">
        <f t="shared" si="1"/>
        <v>0.84621839013945954</v>
      </c>
    </row>
    <row r="30" spans="3:48" ht="13.5" thickBot="1" x14ac:dyDescent="0.45">
      <c r="C30" s="29" t="s">
        <v>59</v>
      </c>
      <c r="E30" s="30">
        <f>[2]!s_stm07_bs($C$6,"W45407132",E6,1,1000000)</f>
        <v>7509118</v>
      </c>
      <c r="F30" s="30">
        <f>[2]!s_stm07_bs($C$6,"W45407132",F6,1,1000000)</f>
        <v>7880806</v>
      </c>
      <c r="G30" s="30">
        <f>[2]!s_stm07_bs($C$6,"W45407132",G6,1,1000000)</f>
        <v>8303988</v>
      </c>
      <c r="H30" s="30">
        <f>[2]!s_stm07_bs($C$6,"W45407132",H6,1,1000000)</f>
        <v>8597756</v>
      </c>
      <c r="I30" s="30">
        <f>[2]!s_stm07_bs($C$6,"W45407132",I6,1,1000000)</f>
        <v>8684288</v>
      </c>
      <c r="J30" s="30">
        <f>[2]!s_stm07_bs($C$6,"W45407132",J6,1,1000000)</f>
        <v>9141387</v>
      </c>
      <c r="K30" s="30">
        <f>[2]!s_stm07_bs($C$6,"W45407132",K6,1,1000000)</f>
        <v>9399960</v>
      </c>
      <c r="L30" s="30">
        <f>[2]!s_stm07_bs($C$6,"W45407132",L6,1,1000000)</f>
        <v>9384347</v>
      </c>
      <c r="M30" s="30">
        <f>[2]!s_stm07_bs($C$6,"W45407132",M6,1,1000000)</f>
        <v>9757654</v>
      </c>
      <c r="N30" s="30">
        <f>[2]!s_stm07_bs($C$6,"W45407132",N6,1,1000000)</f>
        <v>10978966</v>
      </c>
      <c r="O30" s="30">
        <f>[2]!s_stm07_bs($C$6,"W45407132",O6,1,1000000)</f>
        <v>11435086</v>
      </c>
      <c r="P30" s="30">
        <f>[2]!s_stm07_bs($C$6,"W45407132",P6,1,1000000)</f>
        <v>11670134</v>
      </c>
      <c r="Q30" s="30">
        <f>[2]!s_stm07_bs($C$6,"W45407132",Q6,1,1000000)</f>
        <v>11785053</v>
      </c>
      <c r="R30" s="30">
        <f>[2]!s_stm07_bs($C$6,"W45407132",R6,1,1000000)</f>
        <v>12553385</v>
      </c>
      <c r="S30" s="30">
        <f>[2]!s_stm07_bs($C$6,"W45407132",S6,1,1000000)</f>
        <v>12960381</v>
      </c>
      <c r="T30" s="30">
        <f>[2]!s_stm07_bs($C$6,"W45407132",T6,1,1000000)</f>
        <v>13417887</v>
      </c>
      <c r="U30" s="30">
        <f>[2]!s_stm07_bs($C$6,"W45407132",U6,1,1000000)</f>
        <v>13458622</v>
      </c>
      <c r="V30" s="30">
        <f>[2]!s_stm07_bs($C$6,"W45407132",V6,1,1000000)</f>
        <v>14389996</v>
      </c>
      <c r="W30" s="30">
        <f>[2]!s_stm07_bs($C$6,"W45407132",W6,1,1000000)</f>
        <v>14896048</v>
      </c>
      <c r="X30" s="30">
        <f>[2]!s_stm07_bs($C$6,"W45407132",X6,1,1000000)</f>
        <v>15127002</v>
      </c>
      <c r="Y30" s="30">
        <f>[2]!s_stm07_bs($C$6,"W45407132",Y6,1,1000000)</f>
        <v>15476868</v>
      </c>
      <c r="Z30" s="30">
        <f>[2]!s_stm07_bs($C$6,"W45407132",Z6,1,1000000)</f>
        <v>16431196</v>
      </c>
      <c r="AA30" s="30">
        <f>[2]!s_stm07_bs($C$6,"W45407132",AA6,1,1000000)</f>
        <v>17073050</v>
      </c>
      <c r="AB30" s="30">
        <f>[2]!s_stm07_bs($C$6,"W45407132",AB6,1,1000000)</f>
        <v>17371150</v>
      </c>
      <c r="AC30" s="30">
        <f>[2]!s_stm07_bs($C$6,"W45407132",AC6,1,1000000)</f>
        <v>17542217</v>
      </c>
      <c r="AD30" s="30">
        <f>[2]!s_stm07_bs($C$6,"W45407132",AD6,1,1000000)</f>
        <v>18357278</v>
      </c>
      <c r="AE30" s="30">
        <f>[2]!s_stm07_bs($C$6,"W45407132",AE6,1,1000000)</f>
        <v>18723353</v>
      </c>
      <c r="AF30" s="30">
        <f>[2]!s_stm07_bs($C$6,"W45407132",AF6,1,1000000)</f>
        <v>18742548</v>
      </c>
      <c r="AG30" s="30">
        <f>[2]!s_stm07_bs($C$6,"W45407132",AG6,1,1000000)</f>
        <v>18917752</v>
      </c>
      <c r="AH30" s="30">
        <f>[2]!s_stm07_bs($C$6,"W45407132",AH6,1,1000000)</f>
        <v>19734683</v>
      </c>
      <c r="AI30" s="30">
        <f>[2]!s_stm07_bs($C$6,"W45407132",AI6,1,1000000)</f>
        <v>20303677</v>
      </c>
      <c r="AJ30" s="30">
        <f>[2]!s_stm07_bs($C$6,"W45407132",AJ6,1,1000000)</f>
        <v>20150956</v>
      </c>
      <c r="AK30" s="30">
        <f>[2]!s_stm07_bs($C$6,"W45407132",AK6,1,1000000)</f>
        <v>20609953</v>
      </c>
      <c r="AL30" s="30">
        <f>[2]!s_stm07_bs($C$6,"W45407132",AL6,1,1000000)</f>
        <v>21396633</v>
      </c>
      <c r="AM30" s="30">
        <f>[2]!s_stm07_bs($C$6,"W45407132",AM6,1,1000000)</f>
        <v>22417295</v>
      </c>
      <c r="AN30" s="30">
        <f>[2]!s_stm07_bs($C$6,"W45407132",AN6,1,1000000)</f>
        <v>22104917</v>
      </c>
      <c r="AO30" s="30">
        <f>[2]!s_stm07_bs($C$6,"W45407132",AO6,1,1000000)</f>
        <v>22209780</v>
      </c>
      <c r="AP30" s="30">
        <f>[2]!s_stm07_bs($C$6,"W45407132",AP6,1,1000000)</f>
        <v>22883325</v>
      </c>
      <c r="AQ30" s="30">
        <f>[2]!s_stm07_bs($C$6,"W45407132",AQ6,1,1000000)</f>
        <v>23524327</v>
      </c>
      <c r="AR30" s="30">
        <f>[2]!s_stm07_bs($C$6,"W45407132",AR6,1,1000000)</f>
        <v>23646472</v>
      </c>
      <c r="AS30" s="30">
        <f>[2]!s_stm07_bs($C$6,"W45407132",AS6,1,1000000)</f>
        <v>24137265</v>
      </c>
      <c r="AT30" s="30">
        <f>[2]!s_stm07_bs($C$6,"W45407132",AT6,1,1000000)</f>
        <v>24904936</v>
      </c>
      <c r="AU30" s="24">
        <f t="shared" si="0"/>
        <v>767671</v>
      </c>
      <c r="AV30" s="25"/>
    </row>
    <row r="31" spans="3:48" x14ac:dyDescent="0.35"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2"/>
      <c r="AL31" s="32"/>
      <c r="AM31" s="32"/>
      <c r="AN31" s="32"/>
      <c r="AO31" s="32"/>
      <c r="AP31" s="32"/>
      <c r="AQ31" s="33"/>
      <c r="AR31" s="32"/>
      <c r="AS31" s="32"/>
      <c r="AT31" s="32"/>
      <c r="AU31" s="24">
        <f t="shared" si="0"/>
        <v>0</v>
      </c>
    </row>
    <row r="32" spans="3:48" ht="13.5" thickBot="1" x14ac:dyDescent="0.45">
      <c r="C32" s="34" t="s">
        <v>60</v>
      </c>
      <c r="AG32" s="24"/>
      <c r="AH32" s="24"/>
      <c r="AK32" s="24"/>
      <c r="AL32" s="24"/>
      <c r="AO32" s="35"/>
      <c r="AP32" s="35"/>
      <c r="AS32" s="35"/>
      <c r="AT32" s="35"/>
      <c r="AU32" s="24">
        <f t="shared" si="0"/>
        <v>0</v>
      </c>
    </row>
    <row r="33" spans="3:48" ht="13.15" x14ac:dyDescent="0.35">
      <c r="C33" s="36" t="s">
        <v>61</v>
      </c>
      <c r="E33" s="37">
        <f>[2]!s_stm07_bs($C$6,"W41637162",E6,1,1000000)</f>
        <v>0</v>
      </c>
      <c r="F33" s="37">
        <f>[2]!s_stm07_bs($C$6,"W41637162",F6,1,1000000)</f>
        <v>0</v>
      </c>
      <c r="G33" s="37">
        <f>[2]!s_stm07_bs($C$6,"W41637162",G6,1,1000000)</f>
        <v>0</v>
      </c>
      <c r="H33" s="37">
        <f>[2]!s_stm07_bs($C$6,"W41637162",H6,1,1000000)</f>
        <v>0</v>
      </c>
      <c r="I33" s="37">
        <f>[2]!s_stm07_bs($C$6,"W41637162",I6,1,1000000)</f>
        <v>0</v>
      </c>
      <c r="J33" s="37">
        <f>[2]!s_stm07_bs($C$6,"W41637162",J6,1,1000000)</f>
        <v>0</v>
      </c>
      <c r="K33" s="37">
        <f>[2]!s_stm07_bs($C$6,"W41637162",K6,1,1000000)</f>
        <v>0</v>
      </c>
      <c r="L33" s="37">
        <f>[2]!s_stm07_bs($C$6,"W41637162",L6,1,1000000)</f>
        <v>0</v>
      </c>
      <c r="M33" s="37">
        <f>[2]!s_stm07_bs($C$6,"W41637162",M6,1,1000000)</f>
        <v>0</v>
      </c>
      <c r="N33" s="37">
        <f>[2]!s_stm07_bs($C$6,"W41637162",N6,1,1000000)</f>
        <v>0</v>
      </c>
      <c r="O33" s="37">
        <f>[2]!s_stm07_bs($C$6,"W41637162",O6,1,1000000)</f>
        <v>0</v>
      </c>
      <c r="P33" s="37">
        <f>[2]!s_stm07_bs($C$6,"W41637162",P6,1,1000000)</f>
        <v>0</v>
      </c>
      <c r="Q33" s="37">
        <f>[2]!s_stm07_bs($C$6,"W41637162",Q6,1,1000000)</f>
        <v>0</v>
      </c>
      <c r="R33" s="37">
        <f>[2]!s_stm07_bs($C$6,"W41637162",R6,1,1000000)</f>
        <v>0</v>
      </c>
      <c r="S33" s="37">
        <f>[2]!s_stm07_bs($C$6,"W41637162",S6,1,1000000)</f>
        <v>0</v>
      </c>
      <c r="T33" s="37">
        <f>[2]!s_stm07_bs($C$6,"W41637162",T6,1,1000000)</f>
        <v>0</v>
      </c>
      <c r="U33" s="37">
        <f>[2]!s_stm07_bs($C$6,"W41637162",U6,1,1000000)</f>
        <v>51</v>
      </c>
      <c r="V33" s="37">
        <f>[2]!s_stm07_bs($C$6,"W41637162",V6,1,1000000)</f>
        <v>81</v>
      </c>
      <c r="W33" s="37">
        <f>[2]!s_stm07_bs($C$6,"W41637162",W6,1,1000000)</f>
        <v>100</v>
      </c>
      <c r="X33" s="37">
        <f>[2]!s_stm07_bs($C$6,"W41637162",X6,1,1000000)</f>
        <v>100</v>
      </c>
      <c r="Y33" s="37">
        <f>[2]!s_stm07_bs($C$6,"W41637162",Y6,1,1000000)</f>
        <v>100</v>
      </c>
      <c r="Z33" s="37">
        <f>[2]!s_stm07_bs($C$6,"W41637162",Z6,1,1000000)</f>
        <v>70</v>
      </c>
      <c r="AA33" s="37">
        <f>[2]!s_stm07_bs($C$6,"W41637162",AA6,1,1000000)</f>
        <v>437</v>
      </c>
      <c r="AB33" s="37">
        <f>[2]!s_stm07_bs($C$6,"W41637162",AB6,1,1000000)</f>
        <v>237</v>
      </c>
      <c r="AC33" s="37">
        <f>[2]!s_stm07_bs($C$6,"W41637162",AC6,1,1000000)</f>
        <v>1133</v>
      </c>
      <c r="AD33" s="37">
        <f>[2]!s_stm07_bs($C$6,"W41637162",AD6,1,1000000)</f>
        <v>680</v>
      </c>
      <c r="AE33" s="37">
        <f>[2]!s_stm07_bs($C$6,"W41637162",AE6,1,1000000)</f>
        <v>717</v>
      </c>
      <c r="AF33" s="37">
        <f>[2]!s_stm07_bs($C$6,"W41637162",AF6,1,1000000)</f>
        <v>792</v>
      </c>
      <c r="AG33" s="37">
        <f>[2]!s_stm07_bs($C$6,"W41637162",AG6,1,1000000)</f>
        <v>724</v>
      </c>
      <c r="AH33" s="37">
        <f>[2]!s_stm07_bs($C$6,"W41637162",AH6,1,1000000)</f>
        <v>686</v>
      </c>
      <c r="AI33" s="37">
        <f>[2]!s_stm07_bs($C$6,"W41637162",AI6,1,1000000)</f>
        <v>745</v>
      </c>
      <c r="AJ33" s="37">
        <f>[2]!s_stm07_bs($C$6,"W41637162",AJ6,1,1000000)</f>
        <v>699</v>
      </c>
      <c r="AK33" s="37">
        <f>[2]!s_stm07_bs($C$6,"W41637162",AK6,1,1000000)</f>
        <v>631</v>
      </c>
      <c r="AL33" s="37">
        <f>[2]!s_stm07_bs($C$6,"W41637162",AL6,1,1000000)</f>
        <v>333</v>
      </c>
      <c r="AM33" s="37">
        <f>[2]!s_stm07_bs($C$6,"W41637162",AM6,1,1000000)</f>
        <v>332</v>
      </c>
      <c r="AN33" s="37">
        <f>[2]!s_stm07_bs($C$6,"W41637162",AN6,1,1000000)</f>
        <v>338</v>
      </c>
      <c r="AO33" s="37">
        <f>[2]!s_stm07_bs($C$6,"W41637162",AO6,1,1000000)</f>
        <v>210</v>
      </c>
      <c r="AP33" s="37">
        <f>[2]!s_stm07_bs($C$6,"W41637162",AP6,1,1000000)</f>
        <v>182</v>
      </c>
      <c r="AQ33" s="37">
        <f>[2]!s_stm07_bs($C$6,"W41637162",AQ6,1,1000000)</f>
        <v>380</v>
      </c>
      <c r="AR33" s="37">
        <f>[2]!s_stm07_bs($C$6,"W41637162",AR6,1,1000000)</f>
        <v>178</v>
      </c>
      <c r="AS33" s="37">
        <f>[2]!s_stm07_bs($C$6,"W41637162",AS6,1,1000000)</f>
        <v>545</v>
      </c>
      <c r="AT33" s="37">
        <f>[2]!s_stm07_bs($C$6,"W41637162",AT6,1,1000000)</f>
        <v>534</v>
      </c>
      <c r="AU33" s="24">
        <f t="shared" si="0"/>
        <v>-11</v>
      </c>
      <c r="AV33" s="25">
        <f>AU33/33240</f>
        <v>-3.3092659446450062E-4</v>
      </c>
    </row>
    <row r="34" spans="3:48" ht="13.15" x14ac:dyDescent="0.35">
      <c r="C34" s="26" t="s">
        <v>62</v>
      </c>
      <c r="E34" s="23">
        <f>[2]!s_stm07_bs($C$6,"W49756518",E6,1,1000000)</f>
        <v>367494</v>
      </c>
      <c r="F34" s="23">
        <f>[2]!s_stm07_bs($C$6,"W49756518",F6,1,1000000)</f>
        <v>535501</v>
      </c>
      <c r="G34" s="23">
        <f>[2]!s_stm07_bs($C$6,"W49756518",G6,1,1000000)</f>
        <v>751193</v>
      </c>
      <c r="H34" s="23">
        <f>[2]!s_stm07_bs($C$6,"W49756518",H6,1,1000000)</f>
        <v>875239</v>
      </c>
      <c r="I34" s="23">
        <f>[2]!s_stm07_bs($C$6,"W49756518",I6,1,1000000)</f>
        <v>727609</v>
      </c>
      <c r="J34" s="23">
        <f>[2]!s_stm07_bs($C$6,"W49756518",J6,1,1000000)</f>
        <v>783982</v>
      </c>
      <c r="K34" s="23">
        <f>[2]!s_stm07_bs($C$6,"W49756518",K6,1,1000000)</f>
        <v>802408</v>
      </c>
      <c r="L34" s="23">
        <f>[2]!s_stm07_bs($C$6,"W49756518",L6,1,1000000)</f>
        <v>532660</v>
      </c>
      <c r="M34" s="23">
        <f>[2]!s_stm07_bs($C$6,"W49756518",M6,1,1000000)</f>
        <v>592607</v>
      </c>
      <c r="N34" s="23">
        <f>[2]!s_stm07_bs($C$6,"W49756518",N6,1,1000000)</f>
        <v>879103</v>
      </c>
      <c r="O34" s="23">
        <f>[2]!s_stm07_bs($C$6,"W49756518",O6,1,1000000)</f>
        <v>971328</v>
      </c>
      <c r="P34" s="23">
        <f>[2]!s_stm07_bs($C$6,"W49756518",P6,1,1000000)</f>
        <v>914626</v>
      </c>
      <c r="Q34" s="23">
        <f>[2]!s_stm07_bs($C$6,"W49756518",Q6,1,1000000)</f>
        <v>931010</v>
      </c>
      <c r="R34" s="23">
        <f>[2]!s_stm07_bs($C$6,"W49756518",R6,1,1000000)</f>
        <v>1075489</v>
      </c>
      <c r="S34" s="23">
        <f>[2]!s_stm07_bs($C$6,"W49756518",S6,1,1000000)</f>
        <v>995529</v>
      </c>
      <c r="T34" s="23">
        <f>[2]!s_stm07_bs($C$6,"W49756518",T6,1,1000000)</f>
        <v>893172</v>
      </c>
      <c r="U34" s="23">
        <f>[2]!s_stm07_bs($C$6,"W49756518",U6,1,1000000)</f>
        <v>922369</v>
      </c>
      <c r="V34" s="23">
        <f>[2]!s_stm07_bs($C$6,"W49756518",V6,1,1000000)</f>
        <v>985810</v>
      </c>
      <c r="W34" s="23">
        <f>[2]!s_stm07_bs($C$6,"W49756518",W6,1,1000000)</f>
        <v>1073383</v>
      </c>
      <c r="X34" s="23">
        <f>[2]!s_stm07_bs($C$6,"W49756518",X6,1,1000000)</f>
        <v>1041527</v>
      </c>
      <c r="Y34" s="23">
        <f>[2]!s_stm07_bs($C$6,"W49756518",Y6,1,1000000)</f>
        <v>1091494</v>
      </c>
      <c r="Z34" s="23">
        <f>[2]!s_stm07_bs($C$6,"W49756518",Z6,1,1000000)</f>
        <v>1332901</v>
      </c>
      <c r="AA34" s="23">
        <f>[2]!s_stm07_bs($C$6,"W49756518",AA6,1,1000000)</f>
        <v>1335534</v>
      </c>
      <c r="AB34" s="23">
        <f>[2]!s_stm07_bs($C$6,"W49756518",AB6,1,1000000)</f>
        <v>1340243</v>
      </c>
      <c r="AC34" s="23">
        <f>[2]!s_stm07_bs($C$6,"W49756518",AC6,1,1000000)</f>
        <v>1232623</v>
      </c>
      <c r="AD34" s="23">
        <f>[2]!s_stm07_bs($C$6,"W49756518",AD6,1,1000000)</f>
        <v>1014118</v>
      </c>
      <c r="AE34" s="23">
        <f>[2]!s_stm07_bs($C$6,"W49756518",AE6,1,1000000)</f>
        <v>906201</v>
      </c>
      <c r="AF34" s="23">
        <f>[2]!s_stm07_bs($C$6,"W49756518",AF6,1,1000000)</f>
        <v>885275</v>
      </c>
      <c r="AG34" s="23">
        <f>[2]!s_stm07_bs($C$6,"W49756518",AG6,1,1000000)</f>
        <v>867094</v>
      </c>
      <c r="AH34" s="23">
        <f>[2]!s_stm07_bs($C$6,"W49756518",AH6,1,1000000)</f>
        <v>967370</v>
      </c>
      <c r="AI34" s="23">
        <f>[2]!s_stm07_bs($C$6,"W49756518",AI6,1,1000000)</f>
        <v>943814</v>
      </c>
      <c r="AJ34" s="23">
        <f>[2]!s_stm07_bs($C$6,"W49756518",AJ6,1,1000000)</f>
        <v>984026</v>
      </c>
      <c r="AK34" s="23">
        <f>[2]!s_stm07_bs($C$6,"W49756518",AK6,1,1000000)</f>
        <v>1106776</v>
      </c>
      <c r="AL34" s="23">
        <f>[2]!s_stm07_bs($C$6,"W49756518",AL6,1,1000000)</f>
        <v>1351631</v>
      </c>
      <c r="AM34" s="23">
        <f>[2]!s_stm07_bs($C$6,"W49756518",AM6,1,1000000)</f>
        <v>2123898</v>
      </c>
      <c r="AN34" s="23">
        <f>[2]!s_stm07_bs($C$6,"W49756518",AN6,1,1000000)</f>
        <v>1591301</v>
      </c>
      <c r="AO34" s="23">
        <f>[2]!s_stm07_bs($C$6,"W49756518",AO6,1,1000000)</f>
        <v>1788267</v>
      </c>
      <c r="AP34" s="23">
        <f>[2]!s_stm07_bs($C$6,"W49756518",AP6,1,1000000)</f>
        <v>1511547</v>
      </c>
      <c r="AQ34" s="23">
        <f>[2]!s_stm07_bs($C$6,"W49756518",AQ6,1,1000000)</f>
        <v>1724732</v>
      </c>
      <c r="AR34" s="23">
        <f>[2]!s_stm07_bs($C$6,"W49756518",AR6,1,1000000)</f>
        <v>1299723</v>
      </c>
      <c r="AS34" s="23">
        <f>[2]!s_stm07_bs($C$6,"W49756518",AS6,1,1000000)</f>
        <v>1516692</v>
      </c>
      <c r="AT34" s="23">
        <f>[2]!s_stm07_bs($C$6,"W49756518",AT6,1,1000000)</f>
        <v>1216132</v>
      </c>
      <c r="AU34" s="24">
        <f t="shared" si="0"/>
        <v>-300560</v>
      </c>
      <c r="AV34" s="25">
        <f t="shared" ref="AV34:AV47" si="3">AU34/33240</f>
        <v>-9.0421179302045722</v>
      </c>
    </row>
    <row r="35" spans="3:48" ht="13.15" x14ac:dyDescent="0.35">
      <c r="C35" s="26" t="s">
        <v>63</v>
      </c>
      <c r="E35" s="23">
        <f>[2]!s_stm07_bs($C$6,"W45694480",E6,1,1000000)</f>
        <v>32824</v>
      </c>
      <c r="F35" s="23">
        <f>[2]!s_stm07_bs($C$6,"W45694480",F6,1,1000000)</f>
        <v>45842</v>
      </c>
      <c r="G35" s="23">
        <f>[2]!s_stm07_bs($C$6,"W45694480",G6,1,1000000)</f>
        <v>39008</v>
      </c>
      <c r="H35" s="23">
        <f>[2]!s_stm07_bs($C$6,"W45694480",H6,1,1000000)</f>
        <v>51809</v>
      </c>
      <c r="I35" s="23">
        <f>[2]!s_stm07_bs($C$6,"W45694480",I6,1,1000000)</f>
        <v>77565</v>
      </c>
      <c r="J35" s="23">
        <f>[2]!s_stm07_bs($C$6,"W45694480",J6,1,1000000)</f>
        <v>99770</v>
      </c>
      <c r="K35" s="23">
        <f>[2]!s_stm07_bs($C$6,"W45694480",K6,1,1000000)</f>
        <v>64884</v>
      </c>
      <c r="L35" s="23">
        <f>[2]!s_stm07_bs($C$6,"W45694480",L6,1,1000000)</f>
        <v>61056</v>
      </c>
      <c r="M35" s="23">
        <f>[2]!s_stm07_bs($C$6,"W45694480",M6,1,1000000)</f>
        <v>53647</v>
      </c>
      <c r="N35" s="23">
        <f>[2]!s_stm07_bs($C$6,"W45694480",N6,1,1000000)</f>
        <v>51964</v>
      </c>
      <c r="O35" s="23">
        <f>[2]!s_stm07_bs($C$6,"W45694480",O6,1,1000000)</f>
        <v>39930</v>
      </c>
      <c r="P35" s="23">
        <f>[2]!s_stm07_bs($C$6,"W45694480",P6,1,1000000)</f>
        <v>49510</v>
      </c>
      <c r="Q35" s="23">
        <f>[2]!s_stm07_bs($C$6,"W45694480",Q6,1,1000000)</f>
        <v>70624</v>
      </c>
      <c r="R35" s="23">
        <f>[2]!s_stm07_bs($C$6,"W45694480",R6,1,1000000)</f>
        <v>92125</v>
      </c>
      <c r="S35" s="23">
        <f>[2]!s_stm07_bs($C$6,"W45694480",S6,1,1000000)</f>
        <v>105426</v>
      </c>
      <c r="T35" s="23">
        <f>[2]!s_stm07_bs($C$6,"W45694480",T6,1,1000000)</f>
        <v>116266</v>
      </c>
      <c r="U35" s="23">
        <f>[2]!s_stm07_bs($C$6,"W45694480",U6,1,1000000)</f>
        <v>125633</v>
      </c>
      <c r="V35" s="23">
        <f>[2]!s_stm07_bs($C$6,"W45694480",V6,1,1000000)</f>
        <v>172661</v>
      </c>
      <c r="W35" s="23">
        <f>[2]!s_stm07_bs($C$6,"W45694480",W6,1,1000000)</f>
        <v>210625</v>
      </c>
      <c r="X35" s="23">
        <f>[2]!s_stm07_bs($C$6,"W45694480",X6,1,1000000)</f>
        <v>262883</v>
      </c>
      <c r="Y35" s="23">
        <f>[2]!s_stm07_bs($C$6,"W45694480",Y6,1,1000000)</f>
        <v>249796</v>
      </c>
      <c r="Z35" s="23">
        <f>[2]!s_stm07_bs($C$6,"W45694480",Z6,1,1000000)</f>
        <v>287438</v>
      </c>
      <c r="AA35" s="23">
        <f>[2]!s_stm07_bs($C$6,"W45694480",AA6,1,1000000)</f>
        <v>268561</v>
      </c>
      <c r="AB35" s="23">
        <f>[2]!s_stm07_bs($C$6,"W45694480",AB6,1,1000000)</f>
        <v>238376</v>
      </c>
      <c r="AC35" s="23">
        <f>[2]!s_stm07_bs($C$6,"W45694480",AC6,1,1000000)</f>
        <v>254182</v>
      </c>
      <c r="AD35" s="23">
        <f>[2]!s_stm07_bs($C$6,"W45694480",AD6,1,1000000)</f>
        <v>387793</v>
      </c>
      <c r="AE35" s="23">
        <f>[2]!s_stm07_bs($C$6,"W45694480",AE6,1,1000000)</f>
        <v>365242</v>
      </c>
      <c r="AF35" s="23">
        <f>[2]!s_stm07_bs($C$6,"W45694480",AF6,1,1000000)</f>
        <v>334360</v>
      </c>
      <c r="AG35" s="23">
        <f>[2]!s_stm07_bs($C$6,"W45694480",AG6,1,1000000)</f>
        <v>402161</v>
      </c>
      <c r="AH35" s="23">
        <f>[2]!s_stm07_bs($C$6,"W45694480",AH6,1,1000000)</f>
        <v>488112</v>
      </c>
      <c r="AI35" s="23">
        <f>[2]!s_stm07_bs($C$6,"W45694480",AI6,1,1000000)</f>
        <v>474385</v>
      </c>
      <c r="AJ35" s="23">
        <f>[2]!s_stm07_bs($C$6,"W45694480",AJ6,1,1000000)</f>
        <v>445843</v>
      </c>
      <c r="AK35" s="23">
        <f>[2]!s_stm07_bs($C$6,"W45694480",AK6,1,1000000)</f>
        <v>432463</v>
      </c>
      <c r="AL35" s="23">
        <f>[2]!s_stm07_bs($C$6,"W45694480",AL6,1,1000000)</f>
        <v>440830</v>
      </c>
      <c r="AM35" s="23">
        <f>[2]!s_stm07_bs($C$6,"W45694480",AM6,1,1000000)</f>
        <v>438877</v>
      </c>
      <c r="AN35" s="23">
        <f>[2]!s_stm07_bs($C$6,"W45694480",AN6,1,1000000)</f>
        <v>470335</v>
      </c>
      <c r="AO35" s="23">
        <f>[2]!s_stm07_bs($C$6,"W45694480",AO6,1,1000000)</f>
        <v>477593</v>
      </c>
      <c r="AP35" s="23">
        <f>[2]!s_stm07_bs($C$6,"W45694480",AP6,1,1000000)</f>
        <v>537987</v>
      </c>
      <c r="AQ35" s="23">
        <f>[2]!s_stm07_bs($C$6,"W45694480",AQ6,1,1000000)</f>
        <v>520531</v>
      </c>
      <c r="AR35" s="23">
        <f>[2]!s_stm07_bs($C$6,"W45694480",AR6,1,1000000)</f>
        <v>577756</v>
      </c>
      <c r="AS35" s="23">
        <f>[2]!s_stm07_bs($C$6,"W45694480",AS6,1,1000000)</f>
        <v>500107</v>
      </c>
      <c r="AT35" s="23">
        <f>[2]!s_stm07_bs($C$6,"W45694480",AT6,1,1000000)</f>
        <v>559996</v>
      </c>
      <c r="AU35" s="24">
        <f t="shared" si="0"/>
        <v>59889</v>
      </c>
      <c r="AV35" s="25">
        <f t="shared" si="3"/>
        <v>1.8017148014440434</v>
      </c>
    </row>
    <row r="36" spans="3:48" x14ac:dyDescent="0.35">
      <c r="C36" s="38" t="s">
        <v>64</v>
      </c>
      <c r="E36" s="23">
        <f>[2]!s_stm07_bs($C$6,"W49459692",E6,1,1000000)</f>
        <v>0</v>
      </c>
      <c r="F36" s="23">
        <f>[2]!s_stm07_bs($C$6,"W49459692",F6,1,1000000)</f>
        <v>0</v>
      </c>
      <c r="G36" s="23">
        <f>[2]!s_stm07_bs($C$6,"W49459692",G6,1,1000000)</f>
        <v>26106</v>
      </c>
      <c r="H36" s="23">
        <f>[2]!s_stm07_bs($C$6,"W49459692",H6,1,1000000)</f>
        <v>23401</v>
      </c>
      <c r="I36" s="23">
        <f>[2]!s_stm07_bs($C$6,"W49459692",I6,1,1000000)</f>
        <v>15590</v>
      </c>
      <c r="J36" s="23">
        <f>[2]!s_stm07_bs($C$6,"W49459692",J6,1,1000000)</f>
        <v>8455</v>
      </c>
      <c r="K36" s="23">
        <f>[2]!s_stm07_bs($C$6,"W49459692",K6,1,1000000)</f>
        <v>9122</v>
      </c>
      <c r="L36" s="23">
        <f>[2]!s_stm07_bs($C$6,"W49459692",L6,1,1000000)</f>
        <v>11742</v>
      </c>
      <c r="M36" s="23">
        <f>[2]!s_stm07_bs($C$6,"W49459692",M6,1,1000000)</f>
        <v>11834</v>
      </c>
      <c r="N36" s="23">
        <f>[2]!s_stm07_bs($C$6,"W49459692",N6,1,1000000)</f>
        <v>10997</v>
      </c>
      <c r="O36" s="23">
        <f>[2]!s_stm07_bs($C$6,"W49459692",O6,1,1000000)</f>
        <v>15288</v>
      </c>
      <c r="P36" s="23">
        <f>[2]!s_stm07_bs($C$6,"W49459692",P6,1,1000000)</f>
        <v>16769</v>
      </c>
      <c r="Q36" s="23">
        <f>[2]!s_stm07_bs($C$6,"W49459692",Q6,1,1000000)</f>
        <v>15831</v>
      </c>
      <c r="R36" s="23">
        <f>[2]!s_stm07_bs($C$6,"W49459692",R6,1,1000000)</f>
        <v>20314</v>
      </c>
      <c r="S36" s="23">
        <f>[2]!s_stm07_bs($C$6,"W49459692",S6,1,1000000)</f>
        <v>8628</v>
      </c>
      <c r="T36" s="23">
        <f>[2]!s_stm07_bs($C$6,"W49459692",T6,1,1000000)</f>
        <v>8340</v>
      </c>
      <c r="U36" s="23">
        <f>[2]!s_stm07_bs($C$6,"W49459692",U6,1,1000000)</f>
        <v>6670</v>
      </c>
      <c r="V36" s="23">
        <f>[2]!s_stm07_bs($C$6,"W49459692",V6,1,1000000)</f>
        <v>123672</v>
      </c>
      <c r="W36" s="23">
        <f>[2]!s_stm07_bs($C$6,"W49459692",W6,1,1000000)</f>
        <v>130876</v>
      </c>
      <c r="X36" s="23">
        <f>[2]!s_stm07_bs($C$6,"W49459692",X6,1,1000000)</f>
        <v>174833</v>
      </c>
      <c r="Y36" s="23">
        <f>[2]!s_stm07_bs($C$6,"W49459692",Y6,1,1000000)</f>
        <v>171973</v>
      </c>
      <c r="Z36" s="23">
        <f>[2]!s_stm07_bs($C$6,"W49459692",Z6,1,1000000)</f>
        <v>354185</v>
      </c>
      <c r="AA36" s="23">
        <f>[2]!s_stm07_bs($C$6,"W49459692",AA6,1,1000000)</f>
        <v>394471</v>
      </c>
      <c r="AB36" s="23">
        <f>[2]!s_stm07_bs($C$6,"W49459692",AB6,1,1000000)</f>
        <v>246946</v>
      </c>
      <c r="AC36" s="23">
        <f>[2]!s_stm07_bs($C$6,"W49459692",AC6,1,1000000)</f>
        <v>319742</v>
      </c>
      <c r="AD36" s="23">
        <f>[2]!s_stm07_bs($C$6,"W49459692",AD6,1,1000000)</f>
        <v>258841</v>
      </c>
      <c r="AE36" s="23">
        <f>[2]!s_stm07_bs($C$6,"W49459692",AE6,1,1000000)</f>
        <v>389503</v>
      </c>
      <c r="AF36" s="23">
        <f>[2]!s_stm07_bs($C$6,"W49459692",AF6,1,1000000)</f>
        <v>451565</v>
      </c>
      <c r="AG36" s="23">
        <f>[2]!s_stm07_bs($C$6,"W49459692",AG6,1,1000000)</f>
        <v>553607</v>
      </c>
      <c r="AH36" s="23">
        <f>[2]!s_stm07_bs($C$6,"W49459692",AH6,1,1000000)</f>
        <v>562171</v>
      </c>
      <c r="AI36" s="23">
        <f>[2]!s_stm07_bs($C$6,"W49459692",AI6,1,1000000)</f>
        <v>642497</v>
      </c>
      <c r="AJ36" s="23">
        <f>[2]!s_stm07_bs($C$6,"W49459692",AJ6,1,1000000)</f>
        <v>615708</v>
      </c>
      <c r="AK36" s="23">
        <f>[2]!s_stm07_bs($C$6,"W49459692",AK6,1,1000000)</f>
        <v>589385</v>
      </c>
      <c r="AL36" s="23">
        <f>[2]!s_stm07_bs($C$6,"W49459692",AL6,1,1000000)</f>
        <v>653230</v>
      </c>
      <c r="AM36" s="23">
        <f>[2]!s_stm07_bs($C$6,"W49459692",AM6,1,1000000)</f>
        <v>499095</v>
      </c>
      <c r="AN36" s="23">
        <f>[2]!s_stm07_bs($C$6,"W49459692",AN6,1,1000000)</f>
        <v>465857</v>
      </c>
      <c r="AO36" s="23">
        <f>[2]!s_stm07_bs($C$6,"W49459692",AO6,1,1000000)</f>
        <v>303927</v>
      </c>
      <c r="AP36" s="23">
        <f>[2]!s_stm07_bs($C$6,"W49459692",AP6,1,1000000)</f>
        <v>353508</v>
      </c>
      <c r="AQ36" s="23">
        <f>[2]!s_stm07_bs($C$6,"W49459692",AQ6,1,1000000)</f>
        <v>346986</v>
      </c>
      <c r="AR36" s="23">
        <f>[2]!s_stm07_bs($C$6,"W49459692",AR6,1,1000000)</f>
        <v>339693</v>
      </c>
      <c r="AS36" s="23">
        <f>[2]!s_stm07_bs($C$6,"W49459692",AS6,1,1000000)</f>
        <v>366752</v>
      </c>
      <c r="AT36" s="23">
        <f>[2]!s_stm07_bs($C$6,"W49459692",AT6,1,1000000)</f>
        <v>395859</v>
      </c>
      <c r="AU36" s="24">
        <f t="shared" si="0"/>
        <v>29107</v>
      </c>
      <c r="AV36" s="25">
        <f t="shared" si="3"/>
        <v>0.87566185318892897</v>
      </c>
    </row>
    <row r="37" spans="3:48" x14ac:dyDescent="0.35">
      <c r="C37" s="38" t="s">
        <v>65</v>
      </c>
      <c r="E37" s="23">
        <f>[2]!s_stm07_bs($C$6,"W43138898",E6,1,1000000)</f>
        <v>2613</v>
      </c>
      <c r="F37" s="23">
        <f>[2]!s_stm07_bs($C$6,"W43138898",F6,1,1000000)</f>
        <v>3000</v>
      </c>
      <c r="G37" s="23">
        <f>[2]!s_stm07_bs($C$6,"W43138898",G6,1,1000000)</f>
        <v>3489</v>
      </c>
      <c r="H37" s="23">
        <f>[2]!s_stm07_bs($C$6,"W43138898",H6,1,1000000)</f>
        <v>4533</v>
      </c>
      <c r="I37" s="23">
        <f>[2]!s_stm07_bs($C$6,"W43138898",I6,1,1000000)</f>
        <v>7127</v>
      </c>
      <c r="J37" s="23">
        <f>[2]!s_stm07_bs($C$6,"W43138898",J6,1,1000000)</f>
        <v>12243</v>
      </c>
      <c r="K37" s="23">
        <f>[2]!s_stm07_bs($C$6,"W43138898",K6,1,1000000)</f>
        <v>8841</v>
      </c>
      <c r="L37" s="23">
        <f>[2]!s_stm07_bs($C$6,"W43138898",L6,1,1000000)</f>
        <v>8242</v>
      </c>
      <c r="M37" s="23">
        <f>[2]!s_stm07_bs($C$6,"W43138898",M6,1,1000000)</f>
        <v>13612</v>
      </c>
      <c r="N37" s="23">
        <f>[2]!s_stm07_bs($C$6,"W43138898",N6,1,1000000)</f>
        <v>9452</v>
      </c>
      <c r="O37" s="23">
        <f>[2]!s_stm07_bs($C$6,"W43138898",O6,1,1000000)</f>
        <v>7697</v>
      </c>
      <c r="P37" s="23">
        <f>[2]!s_stm07_bs($C$6,"W43138898",P6,1,1000000)</f>
        <v>9484</v>
      </c>
      <c r="Q37" s="23">
        <f>[2]!s_stm07_bs($C$6,"W43138898",Q6,1,1000000)</f>
        <v>7773</v>
      </c>
      <c r="R37" s="23">
        <f>[2]!s_stm07_bs($C$6,"W43138898",R6,1,1000000)</f>
        <v>7151</v>
      </c>
      <c r="S37" s="23">
        <f>[2]!s_stm07_bs($C$6,"W43138898",S6,1,1000000)</f>
        <v>10248</v>
      </c>
      <c r="T37" s="23">
        <f>[2]!s_stm07_bs($C$6,"W43138898",T6,1,1000000)</f>
        <v>10416</v>
      </c>
      <c r="U37" s="23">
        <f>[2]!s_stm07_bs($C$6,"W43138898",U6,1,1000000)</f>
        <v>10564</v>
      </c>
      <c r="V37" s="23">
        <f>[2]!s_stm07_bs($C$6,"W43138898",V6,1,1000000)</f>
        <v>10286</v>
      </c>
      <c r="W37" s="23">
        <f>[2]!s_stm07_bs($C$6,"W43138898",W6,1,1000000)</f>
        <v>11025</v>
      </c>
      <c r="X37" s="23">
        <f>[2]!s_stm07_bs($C$6,"W43138898",X6,1,1000000)</f>
        <v>13808</v>
      </c>
      <c r="Y37" s="23">
        <f>[2]!s_stm07_bs($C$6,"W43138898",Y6,1,1000000)</f>
        <v>12617</v>
      </c>
      <c r="Z37" s="23">
        <f>[2]!s_stm07_bs($C$6,"W43138898",Z6,1,1000000)</f>
        <v>9828</v>
      </c>
      <c r="AA37" s="23">
        <f>[2]!s_stm07_bs($C$6,"W43138898",AA6,1,1000000)</f>
        <v>13387</v>
      </c>
      <c r="AB37" s="23">
        <f>[2]!s_stm07_bs($C$6,"W43138898",AB6,1,1000000)</f>
        <v>12832</v>
      </c>
      <c r="AC37" s="23">
        <f>[2]!s_stm07_bs($C$6,"W43138898",AC6,1,1000000)</f>
        <v>13261</v>
      </c>
      <c r="AD37" s="23">
        <f>[2]!s_stm07_bs($C$6,"W43138898",AD6,1,1000000)</f>
        <v>15611</v>
      </c>
      <c r="AE37" s="23">
        <f>[2]!s_stm07_bs($C$6,"W43138898",AE6,1,1000000)</f>
        <v>23851</v>
      </c>
      <c r="AF37" s="23">
        <f>[2]!s_stm07_bs($C$6,"W43138898",AF6,1,1000000)</f>
        <v>15932</v>
      </c>
      <c r="AG37" s="23">
        <f>[2]!s_stm07_bs($C$6,"W43138898",AG6,1,1000000)</f>
        <v>19168</v>
      </c>
      <c r="AH37" s="23">
        <f>[2]!s_stm07_bs($C$6,"W43138898",AH6,1,1000000)</f>
        <v>25918</v>
      </c>
      <c r="AI37" s="23">
        <f>[2]!s_stm07_bs($C$6,"W43138898",AI6,1,1000000)</f>
        <v>23579</v>
      </c>
      <c r="AJ37" s="23">
        <f>[2]!s_stm07_bs($C$6,"W43138898",AJ6,1,1000000)</f>
        <v>39064</v>
      </c>
      <c r="AK37" s="23">
        <f>[2]!s_stm07_bs($C$6,"W43138898",AK6,1,1000000)</f>
        <v>24191</v>
      </c>
      <c r="AL37" s="23">
        <f>[2]!s_stm07_bs($C$6,"W43138898",AL6,1,1000000)</f>
        <v>80685</v>
      </c>
      <c r="AM37" s="23">
        <f>[2]!s_stm07_bs($C$6,"W43138898",AM6,1,1000000)</f>
        <v>66790</v>
      </c>
      <c r="AN37" s="23">
        <f>[2]!s_stm07_bs($C$6,"W43138898",AN6,1,1000000)</f>
        <v>67375</v>
      </c>
      <c r="AO37" s="23">
        <f>[2]!s_stm07_bs($C$6,"W43138898",AO6,1,1000000)</f>
        <v>76826</v>
      </c>
      <c r="AP37" s="23">
        <f>[2]!s_stm07_bs($C$6,"W43138898",AP6,1,1000000)</f>
        <v>97339</v>
      </c>
      <c r="AQ37" s="23">
        <f>[2]!s_stm07_bs($C$6,"W43138898",AQ6,1,1000000)</f>
        <v>79431</v>
      </c>
      <c r="AR37" s="23">
        <f>[2]!s_stm07_bs($C$6,"W43138898",AR6,1,1000000)</f>
        <v>74278</v>
      </c>
      <c r="AS37" s="23">
        <f>[2]!s_stm07_bs($C$6,"W43138898",AS6,1,1000000)</f>
        <v>89960</v>
      </c>
      <c r="AT37" s="23">
        <f>[2]!s_stm07_bs($C$6,"W43138898",AT6,1,1000000)</f>
        <v>71726</v>
      </c>
      <c r="AU37" s="24">
        <f t="shared" si="0"/>
        <v>-18234</v>
      </c>
      <c r="AV37" s="25">
        <f t="shared" si="3"/>
        <v>-0.54855595667870038</v>
      </c>
    </row>
    <row r="38" spans="3:48" x14ac:dyDescent="0.35">
      <c r="C38" s="38" t="s">
        <v>66</v>
      </c>
      <c r="E38" s="23">
        <f>[2]!s_stm07_bs($C$6,"W47648264",E6,1,1000000)</f>
        <v>48610</v>
      </c>
      <c r="F38" s="23">
        <f>[2]!s_stm07_bs($C$6,"W47648264",F6,1,1000000)</f>
        <v>24984</v>
      </c>
      <c r="G38" s="23">
        <f>[2]!s_stm07_bs($C$6,"W47648264",G6,1,1000000)</f>
        <v>85571</v>
      </c>
      <c r="H38" s="23">
        <f>[2]!s_stm07_bs($C$6,"W47648264",H6,1,1000000)</f>
        <v>59900</v>
      </c>
      <c r="I38" s="23">
        <f>[2]!s_stm07_bs($C$6,"W47648264",I6,1,1000000)</f>
        <v>193508</v>
      </c>
      <c r="J38" s="23">
        <f>[2]!s_stm07_bs($C$6,"W47648264",J6,1,1000000)</f>
        <v>188976</v>
      </c>
      <c r="K38" s="23">
        <f>[2]!s_stm07_bs($C$6,"W47648264",K6,1,1000000)</f>
        <v>186636</v>
      </c>
      <c r="L38" s="23">
        <f>[2]!s_stm07_bs($C$6,"W47648264",L6,1,1000000)</f>
        <v>43633</v>
      </c>
      <c r="M38" s="23">
        <f>[2]!s_stm07_bs($C$6,"W47648264",M6,1,1000000)</f>
        <v>4648</v>
      </c>
      <c r="N38" s="23">
        <f>[2]!s_stm07_bs($C$6,"W47648264",N6,1,1000000)</f>
        <v>4957</v>
      </c>
      <c r="O38" s="23">
        <f>[2]!s_stm07_bs($C$6,"W47648264",O6,1,1000000)</f>
        <v>6877</v>
      </c>
      <c r="P38" s="23">
        <f>[2]!s_stm07_bs($C$6,"W47648264",P6,1,1000000)</f>
        <v>6046</v>
      </c>
      <c r="Q38" s="23">
        <f>[2]!s_stm07_bs($C$6,"W47648264",Q6,1,1000000)</f>
        <v>36060</v>
      </c>
      <c r="R38" s="23">
        <f>[2]!s_stm07_bs($C$6,"W47648264",R6,1,1000000)</f>
        <v>617</v>
      </c>
      <c r="S38" s="23">
        <f>[2]!s_stm07_bs($C$6,"W47648264",S6,1,1000000)</f>
        <v>9100</v>
      </c>
      <c r="T38" s="23">
        <f>[2]!s_stm07_bs($C$6,"W47648264",T6,1,1000000)</f>
        <v>2999</v>
      </c>
      <c r="U38" s="23">
        <f>[2]!s_stm07_bs($C$6,"W47648264",U6,1,1000000)</f>
        <v>84888</v>
      </c>
      <c r="V38" s="23">
        <f>[2]!s_stm07_bs($C$6,"W47648264",V6,1,1000000)</f>
        <v>81746</v>
      </c>
      <c r="W38" s="23">
        <f>[2]!s_stm07_bs($C$6,"W47648264",W6,1,1000000)</f>
        <v>61901</v>
      </c>
      <c r="X38" s="23">
        <f>[2]!s_stm07_bs($C$6,"W47648264",X6,1,1000000)</f>
        <v>136069</v>
      </c>
      <c r="Y38" s="23">
        <f>[2]!s_stm07_bs($C$6,"W47648264",Y6,1,1000000)</f>
        <v>206254</v>
      </c>
      <c r="Z38" s="23">
        <f>[2]!s_stm07_bs($C$6,"W47648264",Z6,1,1000000)</f>
        <v>241058</v>
      </c>
      <c r="AA38" s="23">
        <f>[2]!s_stm07_bs($C$6,"W47648264",AA6,1,1000000)</f>
        <v>176975</v>
      </c>
      <c r="AB38" s="23">
        <f>[2]!s_stm07_bs($C$6,"W47648264",AB6,1,1000000)</f>
        <v>222649</v>
      </c>
      <c r="AC38" s="23">
        <f>[2]!s_stm07_bs($C$6,"W47648264",AC6,1,1000000)</f>
        <v>237764</v>
      </c>
      <c r="AD38" s="23">
        <f>[2]!s_stm07_bs($C$6,"W47648264",AD6,1,1000000)</f>
        <v>314698</v>
      </c>
      <c r="AE38" s="23">
        <f>[2]!s_stm07_bs($C$6,"W47648264",AE6,1,1000000)</f>
        <v>337871</v>
      </c>
      <c r="AF38" s="23">
        <f>[2]!s_stm07_bs($C$6,"W47648264",AF6,1,1000000)</f>
        <v>335071</v>
      </c>
      <c r="AG38" s="23">
        <f>[2]!s_stm07_bs($C$6,"W47648264",AG6,1,1000000)</f>
        <v>299304</v>
      </c>
      <c r="AH38" s="23">
        <f>[2]!s_stm07_bs($C$6,"W47648264",AH6,1,1000000)</f>
        <v>233208</v>
      </c>
      <c r="AI38" s="23">
        <f>[2]!s_stm07_bs($C$6,"W47648264",AI6,1,1000000)</f>
        <v>193858</v>
      </c>
      <c r="AJ38" s="23">
        <f>[2]!s_stm07_bs($C$6,"W47648264",AJ6,1,1000000)</f>
        <v>310136</v>
      </c>
      <c r="AK38" s="23">
        <f>[2]!s_stm07_bs($C$6,"W47648264",AK6,1,1000000)</f>
        <v>380957</v>
      </c>
      <c r="AL38" s="23">
        <f>[2]!s_stm07_bs($C$6,"W47648264",AL6,1,1000000)</f>
        <v>421854</v>
      </c>
      <c r="AM38" s="23">
        <f>[2]!s_stm07_bs($C$6,"W47648264",AM6,1,1000000)</f>
        <v>330933</v>
      </c>
      <c r="AN38" s="23">
        <f>[2]!s_stm07_bs($C$6,"W47648264",AN6,1,1000000)</f>
        <v>318231</v>
      </c>
      <c r="AO38" s="23">
        <f>[2]!s_stm07_bs($C$6,"W47648264",AO6,1,1000000)</f>
        <v>337191</v>
      </c>
      <c r="AP38" s="23">
        <f>[2]!s_stm07_bs($C$6,"W47648264",AP6,1,1000000)</f>
        <v>328210</v>
      </c>
      <c r="AQ38" s="23">
        <f>[2]!s_stm07_bs($C$6,"W47648264",AQ6,1,1000000)</f>
        <v>345029</v>
      </c>
      <c r="AR38" s="23">
        <f>[2]!s_stm07_bs($C$6,"W47648264",AR6,1,1000000)</f>
        <v>446604</v>
      </c>
      <c r="AS38" s="23">
        <f>[2]!s_stm07_bs($C$6,"W47648264",AS6,1,1000000)</f>
        <v>589306</v>
      </c>
      <c r="AT38" s="23">
        <f>[2]!s_stm07_bs($C$6,"W47648264",AT6,1,1000000)</f>
        <v>769022</v>
      </c>
      <c r="AU38" s="24">
        <f t="shared" si="0"/>
        <v>179716</v>
      </c>
      <c r="AV38" s="25">
        <f t="shared" si="3"/>
        <v>5.4066185318892899</v>
      </c>
    </row>
    <row r="39" spans="3:48" ht="13.15" x14ac:dyDescent="0.35">
      <c r="C39" s="27" t="s">
        <v>67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>
        <v>1472</v>
      </c>
      <c r="R39" s="39">
        <v>2007</v>
      </c>
      <c r="S39" s="39">
        <v>4505</v>
      </c>
      <c r="T39" s="39">
        <v>8406</v>
      </c>
      <c r="U39" s="39">
        <v>11168</v>
      </c>
      <c r="V39" s="39">
        <v>25842</v>
      </c>
      <c r="W39" s="39">
        <v>27645</v>
      </c>
      <c r="X39" s="39">
        <v>28311</v>
      </c>
      <c r="Y39" s="39">
        <v>41426</v>
      </c>
      <c r="Z39" s="39">
        <v>42556</v>
      </c>
      <c r="AA39" s="39">
        <v>57309</v>
      </c>
      <c r="AB39" s="39">
        <v>45137</v>
      </c>
      <c r="AC39" s="39">
        <v>38009</v>
      </c>
      <c r="AD39" s="39">
        <v>41033</v>
      </c>
      <c r="AE39" s="39">
        <v>56020</v>
      </c>
      <c r="AF39" s="39">
        <v>88648</v>
      </c>
      <c r="AG39" s="39">
        <v>130558</v>
      </c>
      <c r="AH39" s="39">
        <v>167190</v>
      </c>
      <c r="AI39" s="39">
        <v>176265</v>
      </c>
      <c r="AJ39" s="39">
        <v>181401</v>
      </c>
      <c r="AK39" s="39">
        <v>176248</v>
      </c>
      <c r="AL39" s="39">
        <v>150025</v>
      </c>
      <c r="AM39" s="39">
        <v>145450</v>
      </c>
      <c r="AN39" s="39">
        <v>149641</v>
      </c>
      <c r="AO39" s="39">
        <v>183352</v>
      </c>
      <c r="AP39" s="39">
        <v>168636</v>
      </c>
      <c r="AQ39" s="39">
        <v>199802</v>
      </c>
      <c r="AR39" s="39">
        <v>198881</v>
      </c>
      <c r="AS39" s="39">
        <v>218427</v>
      </c>
      <c r="AT39" s="39">
        <v>229593</v>
      </c>
      <c r="AU39" s="24" t="e">
        <f>#REF!-#REF!</f>
        <v>#REF!</v>
      </c>
      <c r="AV39" s="25" t="e">
        <f t="shared" si="3"/>
        <v>#REF!</v>
      </c>
    </row>
    <row r="40" spans="3:48" x14ac:dyDescent="0.35">
      <c r="C40" s="38" t="s">
        <v>68</v>
      </c>
      <c r="E40" s="23">
        <f>[2]!s_stm07_bs($C$6,"W47888059",E6,1,1000000)</f>
        <v>6351423</v>
      </c>
      <c r="F40" s="23">
        <f>[2]!s_stm07_bs($C$6,"W47888059",F6,1,1000000)</f>
        <v>6560019</v>
      </c>
      <c r="G40" s="23">
        <f>[2]!s_stm07_bs($C$6,"W47888059",G6,1,1000000)</f>
        <v>6692270</v>
      </c>
      <c r="H40" s="23">
        <f>[2]!s_stm07_bs($C$6,"W47888059",H6,1,1000000)</f>
        <v>6823165</v>
      </c>
      <c r="I40" s="23">
        <f>[2]!s_stm07_bs($C$6,"W47888059",I6,1,1000000)</f>
        <v>6898413</v>
      </c>
      <c r="J40" s="23">
        <f>[2]!s_stm07_bs($C$6,"W47888059",J6,1,1000000)</f>
        <v>7228839</v>
      </c>
      <c r="K40" s="23">
        <f>[2]!s_stm07_bs($C$6,"W47888059",K6,1,1000000)</f>
        <v>7538748</v>
      </c>
      <c r="L40" s="23">
        <f>[2]!s_stm07_bs($C$6,"W47888059",L6,1,1000000)</f>
        <v>7898299</v>
      </c>
      <c r="M40" s="23">
        <f>[2]!s_stm07_bs($C$6,"W47888059",M6,1,1000000)</f>
        <v>8223446</v>
      </c>
      <c r="N40" s="23">
        <f>[2]!s_stm07_bs($C$6,"W47888059",N6,1,1000000)</f>
        <v>9113767</v>
      </c>
      <c r="O40" s="23">
        <f>[2]!s_stm07_bs($C$6,"W47888059",O6,1,1000000)</f>
        <v>9533117</v>
      </c>
      <c r="P40" s="23">
        <f>[2]!s_stm07_bs($C$6,"W47888059",P6,1,1000000)</f>
        <v>9750836</v>
      </c>
      <c r="Q40" s="23">
        <f>[2]!s_stm07_bs($C$6,"W47888059",Q6,1,1000000)</f>
        <v>9771277</v>
      </c>
      <c r="R40" s="23">
        <f>[2]!s_stm07_bs($C$6,"W47888059",R6,1,1000000)</f>
        <v>10332616</v>
      </c>
      <c r="S40" s="23">
        <f>[2]!s_stm07_bs($C$6,"W47888059",S6,1,1000000)</f>
        <v>10832789</v>
      </c>
      <c r="T40" s="23">
        <f>[2]!s_stm07_bs($C$6,"W47888059",T6,1,1000000)</f>
        <v>11282590</v>
      </c>
      <c r="U40" s="23">
        <f>[2]!s_stm07_bs($C$6,"W47888059",U6,1,1000000)</f>
        <v>11145557</v>
      </c>
      <c r="V40" s="23">
        <f>[2]!s_stm07_bs($C$6,"W47888059",V6,1,1000000)</f>
        <v>11764424</v>
      </c>
      <c r="W40" s="23">
        <f>[2]!s_stm07_bs($C$6,"W47888059",W6,1,1000000)</f>
        <v>12047138</v>
      </c>
      <c r="X40" s="23">
        <f>[2]!s_stm07_bs($C$6,"W47888059",X6,1,1000000)</f>
        <v>12144232</v>
      </c>
      <c r="Y40" s="23">
        <f>[2]!s_stm07_bs($C$6,"W47888059",Y6,1,1000000)</f>
        <v>12261219</v>
      </c>
      <c r="Z40" s="23">
        <f>[2]!s_stm07_bs($C$6,"W47888059",Z6,1,1000000)</f>
        <v>12615281</v>
      </c>
      <c r="AA40" s="23">
        <f>[2]!s_stm07_bs($C$6,"W47888059",AA6,1,1000000)</f>
        <v>13180597</v>
      </c>
      <c r="AB40" s="23">
        <f>[2]!s_stm07_bs($C$6,"W47888059",AB6,1,1000000)</f>
        <v>13633502</v>
      </c>
      <c r="AC40" s="23">
        <f>[2]!s_stm07_bs($C$6,"W47888059",AC6,1,1000000)</f>
        <v>13642910</v>
      </c>
      <c r="AD40" s="23">
        <f>[2]!s_stm07_bs($C$6,"W47888059",AD6,1,1000000)</f>
        <v>14384273</v>
      </c>
      <c r="AE40" s="23">
        <f>[2]!s_stm07_bs($C$6,"W47888059",AE6,1,1000000)</f>
        <v>14508402</v>
      </c>
      <c r="AF40" s="23">
        <f>[2]!s_stm07_bs($C$6,"W47888059",AF6,1,1000000)</f>
        <v>14692718</v>
      </c>
      <c r="AG40" s="23">
        <f>[2]!s_stm07_bs($C$6,"W47888059",AG6,1,1000000)</f>
        <v>14620825</v>
      </c>
      <c r="AH40" s="23">
        <f>[2]!s_stm07_bs($C$6,"W47888059",AH6,1,1000000)</f>
        <v>15160980</v>
      </c>
      <c r="AI40" s="23">
        <f>[2]!s_stm07_bs($C$6,"W47888059",AI6,1,1000000)</f>
        <v>15728332</v>
      </c>
      <c r="AJ40" s="23">
        <f>[2]!s_stm07_bs($C$6,"W47888059",AJ6,1,1000000)</f>
        <v>15339964</v>
      </c>
      <c r="AK40" s="23">
        <f>[2]!s_stm07_bs($C$6,"W47888059",AK6,1,1000000)</f>
        <v>15556601</v>
      </c>
      <c r="AL40" s="23">
        <f>[2]!s_stm07_bs($C$6,"W47888059",AL6,1,1000000)</f>
        <v>15848171</v>
      </c>
      <c r="AM40" s="23">
        <f>[2]!s_stm07_bs($C$6,"W47888059",AM6,1,1000000)</f>
        <v>16287768</v>
      </c>
      <c r="AN40" s="23">
        <f>[2]!s_stm07_bs($C$6,"W47888059",AN6,1,1000000)</f>
        <v>16521828</v>
      </c>
      <c r="AO40" s="23">
        <f>[2]!s_stm07_bs($C$6,"W47888059",AO6,1,1000000)</f>
        <v>16281939</v>
      </c>
      <c r="AP40" s="23">
        <f>[2]!s_stm07_bs($C$6,"W47888059",AP6,1,1000000)</f>
        <v>17038081</v>
      </c>
      <c r="AQ40" s="23">
        <f>[2]!s_stm07_bs($C$6,"W47888059",AQ6,1,1000000)</f>
        <v>17369524</v>
      </c>
      <c r="AR40" s="23">
        <f>[2]!s_stm07_bs($C$6,"W47888059",AR6,1,1000000)</f>
        <v>17754418</v>
      </c>
      <c r="AS40" s="23">
        <f>[2]!s_stm07_bs($C$6,"W47888059",AS6,1,1000000)</f>
        <v>17825302</v>
      </c>
      <c r="AT40" s="23">
        <f>[2]!s_stm07_bs($C$6,"W47888059",AT6,1,1000000)</f>
        <v>18565009</v>
      </c>
      <c r="AU40" s="24">
        <f t="shared" ref="AU40:AU45" si="4">AT41-AS41</f>
        <v>-8423</v>
      </c>
      <c r="AV40" s="25">
        <f t="shared" si="3"/>
        <v>-0.25339951865222621</v>
      </c>
    </row>
    <row r="41" spans="3:48" x14ac:dyDescent="0.35">
      <c r="C41" s="38" t="s">
        <v>69</v>
      </c>
      <c r="E41" s="23">
        <f>[2]!s_stm07_bs($C$6,"W40315239",E6,1,1000000)</f>
        <v>6677</v>
      </c>
      <c r="F41" s="23">
        <f>[2]!s_stm07_bs($C$6,"W40315239",F6,1,1000000)</f>
        <v>7603</v>
      </c>
      <c r="G41" s="23">
        <f>[2]!s_stm07_bs($C$6,"W40315239",G6,1,1000000)</f>
        <v>10640</v>
      </c>
      <c r="H41" s="23">
        <f>[2]!s_stm07_bs($C$6,"W40315239",H6,1,1000000)</f>
        <v>14012</v>
      </c>
      <c r="I41" s="23">
        <f>[2]!s_stm07_bs($C$6,"W40315239",I6,1,1000000)</f>
        <v>19206</v>
      </c>
      <c r="J41" s="23">
        <f>[2]!s_stm07_bs($C$6,"W40315239",J6,1,1000000)</f>
        <v>19574</v>
      </c>
      <c r="K41" s="23">
        <f>[2]!s_stm07_bs($C$6,"W40315239",K6,1,1000000)</f>
        <v>24222</v>
      </c>
      <c r="L41" s="23">
        <f>[2]!s_stm07_bs($C$6,"W40315239",L6,1,1000000)</f>
        <v>23491</v>
      </c>
      <c r="M41" s="23">
        <f>[2]!s_stm07_bs($C$6,"W40315239",M6,1,1000000)</f>
        <v>19942</v>
      </c>
      <c r="N41" s="23">
        <f>[2]!s_stm07_bs($C$6,"W40315239",N6,1,1000000)</f>
        <v>16121</v>
      </c>
      <c r="O41" s="23">
        <f>[2]!s_stm07_bs($C$6,"W40315239",O6,1,1000000)</f>
        <v>19021</v>
      </c>
      <c r="P41" s="23">
        <f>[2]!s_stm07_bs($C$6,"W40315239",P6,1,1000000)</f>
        <v>20408</v>
      </c>
      <c r="Q41" s="23">
        <f>[2]!s_stm07_bs($C$6,"W40315239",Q6,1,1000000)</f>
        <v>20772</v>
      </c>
      <c r="R41" s="23">
        <f>[2]!s_stm07_bs($C$6,"W40315239",R6,1,1000000)</f>
        <v>18468</v>
      </c>
      <c r="S41" s="23">
        <f>[2]!s_stm07_bs($C$6,"W40315239",S6,1,1000000)</f>
        <v>20575</v>
      </c>
      <c r="T41" s="23">
        <f>[2]!s_stm07_bs($C$6,"W40315239",T6,1,1000000)</f>
        <v>21042</v>
      </c>
      <c r="U41" s="23">
        <f>[2]!s_stm07_bs($C$6,"W40315239",U6,1,1000000)</f>
        <v>20305</v>
      </c>
      <c r="V41" s="23">
        <f>[2]!s_stm07_bs($C$6,"W40315239",V6,1,1000000)</f>
        <v>18549</v>
      </c>
      <c r="W41" s="23">
        <f>[2]!s_stm07_bs($C$6,"W40315239",W6,1,1000000)</f>
        <v>20183</v>
      </c>
      <c r="X41" s="23">
        <f>[2]!s_stm07_bs($C$6,"W40315239",X6,1,1000000)</f>
        <v>21324</v>
      </c>
      <c r="Y41" s="23">
        <f>[2]!s_stm07_bs($C$6,"W40315239",Y6,1,1000000)</f>
        <v>23819</v>
      </c>
      <c r="Z41" s="23">
        <f>[2]!s_stm07_bs($C$6,"W40315239",Z6,1,1000000)</f>
        <v>19761</v>
      </c>
      <c r="AA41" s="23">
        <f>[2]!s_stm07_bs($C$6,"W40315239",AA6,1,1000000)</f>
        <v>22877</v>
      </c>
      <c r="AB41" s="23">
        <f>[2]!s_stm07_bs($C$6,"W40315239",AB6,1,1000000)</f>
        <v>22546</v>
      </c>
      <c r="AC41" s="23">
        <f>[2]!s_stm07_bs($C$6,"W40315239",AC6,1,1000000)</f>
        <v>25013</v>
      </c>
      <c r="AD41" s="23">
        <f>[2]!s_stm07_bs($C$6,"W40315239",AD6,1,1000000)</f>
        <v>20172</v>
      </c>
      <c r="AE41" s="23">
        <f>[2]!s_stm07_bs($C$6,"W40315239",AE6,1,1000000)</f>
        <v>21187</v>
      </c>
      <c r="AF41" s="23">
        <f>[2]!s_stm07_bs($C$6,"W40315239",AF6,1,1000000)</f>
        <v>20412</v>
      </c>
      <c r="AG41" s="23">
        <f>[2]!s_stm07_bs($C$6,"W40315239",AG6,1,1000000)</f>
        <v>24529</v>
      </c>
      <c r="AH41" s="23">
        <f>[2]!s_stm07_bs($C$6,"W40315239",AH6,1,1000000)</f>
        <v>18656</v>
      </c>
      <c r="AI41" s="23">
        <f>[2]!s_stm07_bs($C$6,"W40315239",AI6,1,1000000)</f>
        <v>20747</v>
      </c>
      <c r="AJ41" s="23">
        <f>[2]!s_stm07_bs($C$6,"W40315239",AJ6,1,1000000)</f>
        <v>20441</v>
      </c>
      <c r="AK41" s="23">
        <f>[2]!s_stm07_bs($C$6,"W40315239",AK6,1,1000000)</f>
        <v>28148</v>
      </c>
      <c r="AL41" s="23">
        <f>[2]!s_stm07_bs($C$6,"W40315239",AL6,1,1000000)</f>
        <v>21898</v>
      </c>
      <c r="AM41" s="23">
        <f>[2]!s_stm07_bs($C$6,"W40315239",AM6,1,1000000)</f>
        <v>23486</v>
      </c>
      <c r="AN41" s="23">
        <f>[2]!s_stm07_bs($C$6,"W40315239",AN6,1,1000000)</f>
        <v>22765</v>
      </c>
      <c r="AO41" s="23">
        <f>[2]!s_stm07_bs($C$6,"W40315239",AO6,1,1000000)</f>
        <v>31717</v>
      </c>
      <c r="AP41" s="23">
        <f>[2]!s_stm07_bs($C$6,"W40315239",AP6,1,1000000)</f>
        <v>25023</v>
      </c>
      <c r="AQ41" s="23">
        <f>[2]!s_stm07_bs($C$6,"W40315239",AQ6,1,1000000)</f>
        <v>26904</v>
      </c>
      <c r="AR41" s="23">
        <f>[2]!s_stm07_bs($C$6,"W40315239",AR6,1,1000000)</f>
        <v>26277</v>
      </c>
      <c r="AS41" s="23">
        <f>[2]!s_stm07_bs($C$6,"W40315239",AS6,1,1000000)</f>
        <v>32864</v>
      </c>
      <c r="AT41" s="23">
        <f>[2]!s_stm07_bs($C$6,"W40315239",AT6,1,1000000)</f>
        <v>24441</v>
      </c>
      <c r="AU41" s="24">
        <f t="shared" si="4"/>
        <v>14529</v>
      </c>
      <c r="AV41" s="25">
        <f t="shared" si="3"/>
        <v>0.43709386281588447</v>
      </c>
    </row>
    <row r="42" spans="3:48" x14ac:dyDescent="0.35">
      <c r="C42" s="38" t="s">
        <v>70</v>
      </c>
      <c r="E42" s="23">
        <f>[2]!s_stm07_bs($C$6,"W41970448",E6,1,1000000)</f>
        <v>22004</v>
      </c>
      <c r="F42" s="23">
        <f>[2]!s_stm07_bs($C$6,"W41970448",F6,1,1000000)</f>
        <v>29220</v>
      </c>
      <c r="G42" s="23">
        <f>[2]!s_stm07_bs($C$6,"W41970448",G6,1,1000000)</f>
        <v>22062</v>
      </c>
      <c r="H42" s="23">
        <f>[2]!s_stm07_bs($C$6,"W41970448",H6,1,1000000)</f>
        <v>30499</v>
      </c>
      <c r="I42" s="23">
        <f>[2]!s_stm07_bs($C$6,"W41970448",I6,1,1000000)</f>
        <v>40867</v>
      </c>
      <c r="J42" s="23">
        <f>[2]!s_stm07_bs($C$6,"W41970448",J6,1,1000000)</f>
        <v>49973</v>
      </c>
      <c r="K42" s="23">
        <f>[2]!s_stm07_bs($C$6,"W41970448",K6,1,1000000)</f>
        <v>26034</v>
      </c>
      <c r="L42" s="23">
        <f>[2]!s_stm07_bs($C$6,"W41970448",L6,1,1000000)</f>
        <v>34891</v>
      </c>
      <c r="M42" s="23">
        <f>[2]!s_stm07_bs($C$6,"W41970448",M6,1,1000000)</f>
        <v>44979</v>
      </c>
      <c r="N42" s="23">
        <f>[2]!s_stm07_bs($C$6,"W41970448",N6,1,1000000)</f>
        <v>47626</v>
      </c>
      <c r="O42" s="23">
        <f>[2]!s_stm07_bs($C$6,"W41970448",O6,1,1000000)</f>
        <v>19834</v>
      </c>
      <c r="P42" s="23">
        <f>[2]!s_stm07_bs($C$6,"W41970448",P6,1,1000000)</f>
        <v>18303</v>
      </c>
      <c r="Q42" s="23">
        <f>[2]!s_stm07_bs($C$6,"W41970448",Q6,1,1000000)</f>
        <v>28626</v>
      </c>
      <c r="R42" s="23">
        <f>[2]!s_stm07_bs($C$6,"W41970448",R6,1,1000000)</f>
        <v>34855</v>
      </c>
      <c r="S42" s="23">
        <f>[2]!s_stm07_bs($C$6,"W41970448",S6,1,1000000)</f>
        <v>23175</v>
      </c>
      <c r="T42" s="23">
        <f>[2]!s_stm07_bs($C$6,"W41970448",T6,1,1000000)</f>
        <v>33140</v>
      </c>
      <c r="U42" s="23">
        <f>[2]!s_stm07_bs($C$6,"W41970448",U6,1,1000000)</f>
        <v>40917</v>
      </c>
      <c r="V42" s="23">
        <f>[2]!s_stm07_bs($C$6,"W41970448",V6,1,1000000)</f>
        <v>53197</v>
      </c>
      <c r="W42" s="23">
        <f>[2]!s_stm07_bs($C$6,"W41970448",W6,1,1000000)</f>
        <v>29103</v>
      </c>
      <c r="X42" s="23">
        <f>[2]!s_stm07_bs($C$6,"W41970448",X6,1,1000000)</f>
        <v>43091</v>
      </c>
      <c r="Y42" s="23">
        <f>[2]!s_stm07_bs($C$6,"W41970448",Y6,1,1000000)</f>
        <v>61046</v>
      </c>
      <c r="Z42" s="23">
        <f>[2]!s_stm07_bs($C$6,"W41970448",Z6,1,1000000)</f>
        <v>74493</v>
      </c>
      <c r="AA42" s="23">
        <f>[2]!s_stm07_bs($C$6,"W41970448",AA6,1,1000000)</f>
        <v>39307</v>
      </c>
      <c r="AB42" s="23">
        <f>[2]!s_stm07_bs($C$6,"W41970448",AB6,1,1000000)</f>
        <v>48683</v>
      </c>
      <c r="AC42" s="23">
        <f>[2]!s_stm07_bs($C$6,"W41970448",AC6,1,1000000)</f>
        <v>68162</v>
      </c>
      <c r="AD42" s="23">
        <f>[2]!s_stm07_bs($C$6,"W41970448",AD6,1,1000000)</f>
        <v>81230</v>
      </c>
      <c r="AE42" s="23">
        <f>[2]!s_stm07_bs($C$6,"W41970448",AE6,1,1000000)</f>
        <v>43369</v>
      </c>
      <c r="AF42" s="23">
        <f>[2]!s_stm07_bs($C$6,"W41970448",AF6,1,1000000)</f>
        <v>55468</v>
      </c>
      <c r="AG42" s="23">
        <f>[2]!s_stm07_bs($C$6,"W41970448",AG6,1,1000000)</f>
        <v>67051</v>
      </c>
      <c r="AH42" s="23">
        <f>[2]!s_stm07_bs($C$6,"W41970448",AH6,1,1000000)</f>
        <v>82825</v>
      </c>
      <c r="AI42" s="23">
        <f>[2]!s_stm07_bs($C$6,"W41970448",AI6,1,1000000)</f>
        <v>45653</v>
      </c>
      <c r="AJ42" s="23">
        <f>[2]!s_stm07_bs($C$6,"W41970448",AJ6,1,1000000)</f>
        <v>60234</v>
      </c>
      <c r="AK42" s="23">
        <f>[2]!s_stm07_bs($C$6,"W41970448",AK6,1,1000000)</f>
        <v>72278</v>
      </c>
      <c r="AL42" s="23">
        <f>[2]!s_stm07_bs($C$6,"W41970448",AL6,1,1000000)</f>
        <v>84930</v>
      </c>
      <c r="AM42" s="23">
        <f>[2]!s_stm07_bs($C$6,"W41970448",AM6,1,1000000)</f>
        <v>50178</v>
      </c>
      <c r="AN42" s="23">
        <f>[2]!s_stm07_bs($C$6,"W41970448",AN6,1,1000000)</f>
        <v>66897</v>
      </c>
      <c r="AO42" s="23">
        <f>[2]!s_stm07_bs($C$6,"W41970448",AO6,1,1000000)</f>
        <v>75234</v>
      </c>
      <c r="AP42" s="23">
        <f>[2]!s_stm07_bs($C$6,"W41970448",AP6,1,1000000)</f>
        <v>85318</v>
      </c>
      <c r="AQ42" s="23">
        <f>[2]!s_stm07_bs($C$6,"W41970448",AQ6,1,1000000)</f>
        <v>39068</v>
      </c>
      <c r="AR42" s="23">
        <f>[2]!s_stm07_bs($C$6,"W41970448",AR6,1,1000000)</f>
        <v>52474</v>
      </c>
      <c r="AS42" s="23">
        <f>[2]!s_stm07_bs($C$6,"W41970448",AS6,1,1000000)</f>
        <v>63557</v>
      </c>
      <c r="AT42" s="23">
        <f>[2]!s_stm07_bs($C$6,"W41970448",AT6,1,1000000)</f>
        <v>78086</v>
      </c>
      <c r="AU42" s="24">
        <f t="shared" si="4"/>
        <v>0</v>
      </c>
      <c r="AV42" s="25">
        <f t="shared" si="3"/>
        <v>0</v>
      </c>
    </row>
    <row r="43" spans="3:48" x14ac:dyDescent="0.35">
      <c r="C43" s="38" t="s">
        <v>71</v>
      </c>
      <c r="E43" s="23">
        <f>[2]!s_stm07_bs($C$6,"W43255562",E6,1,1000000)</f>
        <v>0</v>
      </c>
      <c r="F43" s="23">
        <f>[2]!s_stm07_bs($C$6,"W43255562",F6,1,1000000)</f>
        <v>0</v>
      </c>
      <c r="G43" s="23">
        <f>[2]!s_stm07_bs($C$6,"W43255562",G6,1,1000000)</f>
        <v>0</v>
      </c>
      <c r="H43" s="23">
        <f>[2]!s_stm07_bs($C$6,"W43255562",H6,1,1000000)</f>
        <v>0</v>
      </c>
      <c r="I43" s="23">
        <f>[2]!s_stm07_bs($C$6,"W43255562",I6,1,1000000)</f>
        <v>0</v>
      </c>
      <c r="J43" s="23">
        <f>[2]!s_stm07_bs($C$6,"W43255562",J6,1,1000000)</f>
        <v>0</v>
      </c>
      <c r="K43" s="23">
        <f>[2]!s_stm07_bs($C$6,"W43255562",K6,1,1000000)</f>
        <v>0</v>
      </c>
      <c r="L43" s="23">
        <f>[2]!s_stm07_bs($C$6,"W43255562",L6,1,1000000)</f>
        <v>0</v>
      </c>
      <c r="M43" s="23">
        <f>[2]!s_stm07_bs($C$6,"W43255562",M6,1,1000000)</f>
        <v>0</v>
      </c>
      <c r="N43" s="23">
        <f>[2]!s_stm07_bs($C$6,"W43255562",N6,1,1000000)</f>
        <v>0</v>
      </c>
      <c r="O43" s="23">
        <f>[2]!s_stm07_bs($C$6,"W43255562",O6,1,1000000)</f>
        <v>0</v>
      </c>
      <c r="P43" s="23">
        <f>[2]!s_stm07_bs($C$6,"W43255562",P6,1,1000000)</f>
        <v>0</v>
      </c>
      <c r="Q43" s="23">
        <f>[2]!s_stm07_bs($C$6,"W43255562",Q6,1,1000000)</f>
        <v>0</v>
      </c>
      <c r="R43" s="23">
        <f>[2]!s_stm07_bs($C$6,"W43255562",R6,1,1000000)</f>
        <v>0</v>
      </c>
      <c r="S43" s="23">
        <f>[2]!s_stm07_bs($C$6,"W43255562",S6,1,1000000)</f>
        <v>0</v>
      </c>
      <c r="T43" s="23">
        <f>[2]!s_stm07_bs($C$6,"W43255562",T6,1,1000000)</f>
        <v>0</v>
      </c>
      <c r="U43" s="23">
        <f>[2]!s_stm07_bs($C$6,"W43255562",U6,1,1000000)</f>
        <v>0</v>
      </c>
      <c r="V43" s="23">
        <f>[2]!s_stm07_bs($C$6,"W43255562",V6,1,1000000)</f>
        <v>0</v>
      </c>
      <c r="W43" s="23">
        <f>[2]!s_stm07_bs($C$6,"W43255562",W6,1,1000000)</f>
        <v>0</v>
      </c>
      <c r="X43" s="23">
        <f>[2]!s_stm07_bs($C$6,"W43255562",X6,1,1000000)</f>
        <v>0</v>
      </c>
      <c r="Y43" s="23">
        <f>[2]!s_stm07_bs($C$6,"W43255562",Y6,1,1000000)</f>
        <v>0</v>
      </c>
      <c r="Z43" s="23">
        <f>[2]!s_stm07_bs($C$6,"W43255562",Z6,1,1000000)</f>
        <v>0</v>
      </c>
      <c r="AA43" s="23">
        <f>[2]!s_stm07_bs($C$6,"W43255562",AA6,1,1000000)</f>
        <v>0</v>
      </c>
      <c r="AB43" s="23">
        <f>[2]!s_stm07_bs($C$6,"W43255562",AB6,1,1000000)</f>
        <v>0</v>
      </c>
      <c r="AC43" s="23">
        <f>[2]!s_stm07_bs($C$6,"W43255562",AC6,1,1000000)</f>
        <v>0</v>
      </c>
      <c r="AD43" s="23">
        <f>[2]!s_stm07_bs($C$6,"W43255562",AD6,1,1000000)</f>
        <v>0</v>
      </c>
      <c r="AE43" s="23">
        <f>[2]!s_stm07_bs($C$6,"W43255562",AE6,1,1000000)</f>
        <v>0</v>
      </c>
      <c r="AF43" s="23">
        <f>[2]!s_stm07_bs($C$6,"W43255562",AF6,1,1000000)</f>
        <v>0</v>
      </c>
      <c r="AG43" s="23">
        <f>[2]!s_stm07_bs($C$6,"W43255562",AG6,1,1000000)</f>
        <v>0</v>
      </c>
      <c r="AH43" s="23">
        <f>[2]!s_stm07_bs($C$6,"W43255562",AH6,1,1000000)</f>
        <v>0</v>
      </c>
      <c r="AI43" s="23">
        <f>[2]!s_stm07_bs($C$6,"W43255562",AI6,1,1000000)</f>
        <v>0</v>
      </c>
      <c r="AJ43" s="23">
        <f>[2]!s_stm07_bs($C$6,"W43255562",AJ6,1,1000000)</f>
        <v>0</v>
      </c>
      <c r="AK43" s="23">
        <f>[2]!s_stm07_bs($C$6,"W43255562",AK6,1,1000000)</f>
        <v>0</v>
      </c>
      <c r="AL43" s="23">
        <f>[2]!s_stm07_bs($C$6,"W43255562",AL6,1,1000000)</f>
        <v>0</v>
      </c>
      <c r="AM43" s="23">
        <f>[2]!s_stm07_bs($C$6,"W43255562",AM6,1,1000000)</f>
        <v>0</v>
      </c>
      <c r="AN43" s="23">
        <f>[2]!s_stm07_bs($C$6,"W43255562",AN6,1,1000000)</f>
        <v>0</v>
      </c>
      <c r="AO43" s="23">
        <f>[2]!s_stm07_bs($C$6,"W43255562",AO6,1,1000000)</f>
        <v>0</v>
      </c>
      <c r="AP43" s="23">
        <f>[2]!s_stm07_bs($C$6,"W43255562",AP6,1,1000000)</f>
        <v>0</v>
      </c>
      <c r="AQ43" s="23">
        <f>[2]!s_stm07_bs($C$6,"W43255562",AQ6,1,1000000)</f>
        <v>0</v>
      </c>
      <c r="AR43" s="23">
        <f>[2]!s_stm07_bs($C$6,"W43255562",AR6,1,1000000)</f>
        <v>0</v>
      </c>
      <c r="AS43" s="23">
        <f>[2]!s_stm07_bs($C$6,"W43255562",AS6,1,1000000)</f>
        <v>0</v>
      </c>
      <c r="AT43" s="23">
        <f>[2]!s_stm07_bs($C$6,"W43255562",AT6,1,1000000)</f>
        <v>0</v>
      </c>
      <c r="AU43" s="24">
        <f t="shared" si="4"/>
        <v>0</v>
      </c>
      <c r="AV43" s="25">
        <f t="shared" si="3"/>
        <v>0</v>
      </c>
    </row>
    <row r="44" spans="3:48" x14ac:dyDescent="0.35">
      <c r="C44" s="38" t="s">
        <v>72</v>
      </c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4">
        <f t="shared" si="4"/>
        <v>16632</v>
      </c>
      <c r="AV44" s="40">
        <f t="shared" si="3"/>
        <v>0.50036101083032491</v>
      </c>
    </row>
    <row r="45" spans="3:48" ht="13.15" x14ac:dyDescent="0.35">
      <c r="C45" s="26" t="s">
        <v>73</v>
      </c>
      <c r="E45" s="23">
        <f>[2]!s_stm07_bs($C$6,"W41002911",E6,1,1000000)</f>
        <v>44405</v>
      </c>
      <c r="F45" s="23">
        <f>[2]!s_stm07_bs($C$6,"W41002911",F6,1,1000000)</f>
        <v>43847</v>
      </c>
      <c r="G45" s="23">
        <f>[2]!s_stm07_bs($C$6,"W41002911",G6,1,1000000)</f>
        <v>39714</v>
      </c>
      <c r="H45" s="23">
        <f>[2]!s_stm07_bs($C$6,"W41002911",H6,1,1000000)</f>
        <v>38501</v>
      </c>
      <c r="I45" s="23">
        <f>[2]!s_stm07_bs($C$6,"W41002911",I6,1,1000000)</f>
        <v>35562</v>
      </c>
      <c r="J45" s="23">
        <f>[2]!s_stm07_bs($C$6,"W41002911",J6,1,1000000)</f>
        <v>36063</v>
      </c>
      <c r="K45" s="23">
        <f>[2]!s_stm07_bs($C$6,"W41002911",K6,1,1000000)</f>
        <v>35528</v>
      </c>
      <c r="L45" s="23">
        <f>[2]!s_stm07_bs($C$6,"W41002911",L6,1,1000000)</f>
        <v>35923</v>
      </c>
      <c r="M45" s="23">
        <f>[2]!s_stm07_bs($C$6,"W41002911",M6,1,1000000)</f>
        <v>35726</v>
      </c>
      <c r="N45" s="23">
        <f>[2]!s_stm07_bs($C$6,"W41002911",N6,1,1000000)</f>
        <v>35417</v>
      </c>
      <c r="O45" s="23">
        <f>[2]!s_stm07_bs($C$6,"W41002911",O6,1,1000000)</f>
        <v>35285</v>
      </c>
      <c r="P45" s="23">
        <f>[2]!s_stm07_bs($C$6,"W41002911",P6,1,1000000)</f>
        <v>75965</v>
      </c>
      <c r="Q45" s="23">
        <f>[2]!s_stm07_bs($C$6,"W41002911",Q6,1,1000000)</f>
        <v>75000</v>
      </c>
      <c r="R45" s="23">
        <f>[2]!s_stm07_bs($C$6,"W41002911",R6,1,1000000)</f>
        <v>75000</v>
      </c>
      <c r="S45" s="23">
        <f>[2]!s_stm07_bs($C$6,"W41002911",S6,1,1000000)</f>
        <v>75000</v>
      </c>
      <c r="T45" s="23">
        <f>[2]!s_stm07_bs($C$6,"W41002911",T6,1,1000000)</f>
        <v>96949</v>
      </c>
      <c r="U45" s="23">
        <f>[2]!s_stm07_bs($C$6,"W41002911",U6,1,1000000)</f>
        <v>100410</v>
      </c>
      <c r="V45" s="23">
        <f>[2]!s_stm07_bs($C$6,"W41002911",V6,1,1000000)</f>
        <v>100558</v>
      </c>
      <c r="W45" s="23">
        <f>[2]!s_stm07_bs($C$6,"W41002911",W6,1,1000000)</f>
        <v>145248</v>
      </c>
      <c r="X45" s="23">
        <f>[2]!s_stm07_bs($C$6,"W41002911",X6,1,1000000)</f>
        <v>149834</v>
      </c>
      <c r="Y45" s="23">
        <f>[2]!s_stm07_bs($C$6,"W41002911",Y6,1,1000000)</f>
        <v>204161</v>
      </c>
      <c r="Z45" s="23">
        <f>[2]!s_stm07_bs($C$6,"W41002911",Z6,1,1000000)</f>
        <v>209900</v>
      </c>
      <c r="AA45" s="23">
        <f>[2]!s_stm07_bs($C$6,"W41002911",AA6,1,1000000)</f>
        <v>231731</v>
      </c>
      <c r="AB45" s="23">
        <f>[2]!s_stm07_bs($C$6,"W41002911",AB6,1,1000000)</f>
        <v>235320</v>
      </c>
      <c r="AC45" s="23">
        <f>[2]!s_stm07_bs($C$6,"W41002911",AC6,1,1000000)</f>
        <v>232186</v>
      </c>
      <c r="AD45" s="23">
        <f>[2]!s_stm07_bs($C$6,"W41002911",AD6,1,1000000)</f>
        <v>244165</v>
      </c>
      <c r="AE45" s="23">
        <f>[2]!s_stm07_bs($C$6,"W41002911",AE6,1,1000000)</f>
        <v>250203</v>
      </c>
      <c r="AF45" s="23">
        <f>[2]!s_stm07_bs($C$6,"W41002911",AF6,1,1000000)</f>
        <v>246881</v>
      </c>
      <c r="AG45" s="23">
        <f>[2]!s_stm07_bs($C$6,"W41002911",AG6,1,1000000)</f>
        <v>253018</v>
      </c>
      <c r="AH45" s="23">
        <f>[2]!s_stm07_bs($C$6,"W41002911",AH6,1,1000000)</f>
        <v>248644</v>
      </c>
      <c r="AI45" s="23">
        <f>[2]!s_stm07_bs($C$6,"W41002911",AI6,1,1000000)</f>
        <v>255640</v>
      </c>
      <c r="AJ45" s="23">
        <f>[2]!s_stm07_bs($C$6,"W41002911",AJ6,1,1000000)</f>
        <v>268726</v>
      </c>
      <c r="AK45" s="23">
        <f>[2]!s_stm07_bs($C$6,"W41002911",AK6,1,1000000)</f>
        <v>279590</v>
      </c>
      <c r="AL45" s="23">
        <f>[2]!s_stm07_bs($C$6,"W41002911",AL6,1,1000000)</f>
        <v>280771</v>
      </c>
      <c r="AM45" s="23">
        <f>[2]!s_stm07_bs($C$6,"W41002911",AM6,1,1000000)</f>
        <v>284903</v>
      </c>
      <c r="AN45" s="23">
        <f>[2]!s_stm07_bs($C$6,"W41002911",AN6,1,1000000)</f>
        <v>278277</v>
      </c>
      <c r="AO45" s="23">
        <f>[2]!s_stm07_bs($C$6,"W41002911",AO6,1,1000000)</f>
        <v>306622</v>
      </c>
      <c r="AP45" s="23">
        <f>[2]!s_stm07_bs($C$6,"W41002911",AP6,1,1000000)</f>
        <v>311938</v>
      </c>
      <c r="AQ45" s="23">
        <f>[2]!s_stm07_bs($C$6,"W41002911",AQ6,1,1000000)</f>
        <v>320772</v>
      </c>
      <c r="AR45" s="23">
        <f>[2]!s_stm07_bs($C$6,"W41002911",AR6,1,1000000)</f>
        <v>338651</v>
      </c>
      <c r="AS45" s="23">
        <f>[2]!s_stm07_bs($C$6,"W41002911",AS6,1,1000000)</f>
        <v>357937</v>
      </c>
      <c r="AT45" s="23">
        <f>[2]!s_stm07_bs($C$6,"W41002911",AT6,1,1000000)</f>
        <v>374569</v>
      </c>
      <c r="AU45" s="24">
        <f t="shared" si="4"/>
        <v>3</v>
      </c>
      <c r="AV45" s="25">
        <f t="shared" si="3"/>
        <v>9.0252707581227432E-5</v>
      </c>
    </row>
    <row r="46" spans="3:48" x14ac:dyDescent="0.35">
      <c r="C46" s="17" t="s">
        <v>74</v>
      </c>
      <c r="E46" s="23">
        <f>[2]!s_stm07_bs($C$6,"W47653457",E6,1,1000000)</f>
        <v>1384</v>
      </c>
      <c r="F46" s="23">
        <f>[2]!s_stm07_bs($C$6,"W47653457",F6,1,1000000)</f>
        <v>2556</v>
      </c>
      <c r="G46" s="23">
        <f>[2]!s_stm07_bs($C$6,"W47653457",G6,1,1000000)</f>
        <v>2226</v>
      </c>
      <c r="H46" s="23">
        <f>[2]!s_stm07_bs($C$6,"W47653457",H6,1,1000000)</f>
        <v>2857</v>
      </c>
      <c r="I46" s="23">
        <f>[2]!s_stm07_bs($C$6,"W47653457",I6,1,1000000)</f>
        <v>337</v>
      </c>
      <c r="J46" s="23">
        <f>[2]!s_stm07_bs($C$6,"W47653457",J6,1,1000000)</f>
        <v>161</v>
      </c>
      <c r="K46" s="23">
        <f>[2]!s_stm07_bs($C$6,"W47653457",K6,1,1000000)</f>
        <v>158</v>
      </c>
      <c r="L46" s="23">
        <f>[2]!s_stm07_bs($C$6,"W47653457",L6,1,1000000)</f>
        <v>159</v>
      </c>
      <c r="M46" s="23">
        <f>[2]!s_stm07_bs($C$6,"W47653457",M6,1,1000000)</f>
        <v>16</v>
      </c>
      <c r="N46" s="23">
        <f>[2]!s_stm07_bs($C$6,"W47653457",N6,1,1000000)</f>
        <v>8</v>
      </c>
      <c r="O46" s="23">
        <f>[2]!s_stm07_bs($C$6,"W47653457",O6,1,1000000)</f>
        <v>78</v>
      </c>
      <c r="P46" s="23">
        <f>[2]!s_stm07_bs($C$6,"W47653457",P6,1,1000000)</f>
        <v>221</v>
      </c>
      <c r="Q46" s="23">
        <f>[2]!s_stm07_bs($C$6,"W47653457",Q6,1,1000000)</f>
        <v>178</v>
      </c>
      <c r="R46" s="23">
        <f>[2]!s_stm07_bs($C$6,"W47653457",R6,1,1000000)</f>
        <v>236</v>
      </c>
      <c r="S46" s="23">
        <f>[2]!s_stm07_bs($C$6,"W47653457",S6,1,1000000)</f>
        <v>180</v>
      </c>
      <c r="T46" s="23">
        <f>[2]!s_stm07_bs($C$6,"W47653457",T6,1,1000000)</f>
        <v>218</v>
      </c>
      <c r="U46" s="23">
        <f>[2]!s_stm07_bs($C$6,"W47653457",U6,1,1000000)</f>
        <v>318</v>
      </c>
      <c r="V46" s="23">
        <f>[2]!s_stm07_bs($C$6,"W47653457",V6,1,1000000)</f>
        <v>361</v>
      </c>
      <c r="W46" s="23">
        <f>[2]!s_stm07_bs($C$6,"W47653457",W6,1,1000000)</f>
        <v>231</v>
      </c>
      <c r="X46" s="23">
        <f>[2]!s_stm07_bs($C$6,"W47653457",X6,1,1000000)</f>
        <v>129</v>
      </c>
      <c r="Y46" s="23">
        <f>[2]!s_stm07_bs($C$6,"W47653457",Y6,1,1000000)</f>
        <v>103</v>
      </c>
      <c r="Z46" s="23">
        <f>[2]!s_stm07_bs($C$6,"W47653457",Z6,1,1000000)</f>
        <v>105</v>
      </c>
      <c r="AA46" s="23">
        <f>[2]!s_stm07_bs($C$6,"W47653457",AA6,1,1000000)</f>
        <v>169</v>
      </c>
      <c r="AB46" s="23">
        <f>[2]!s_stm07_bs($C$6,"W47653457",AB6,1,1000000)</f>
        <v>405</v>
      </c>
      <c r="AC46" s="23">
        <f>[2]!s_stm07_bs($C$6,"W47653457",AC6,1,1000000)</f>
        <v>552</v>
      </c>
      <c r="AD46" s="23">
        <f>[2]!s_stm07_bs($C$6,"W47653457",AD6,1,1000000)</f>
        <v>560</v>
      </c>
      <c r="AE46" s="23">
        <f>[2]!s_stm07_bs($C$6,"W47653457",AE6,1,1000000)</f>
        <v>395</v>
      </c>
      <c r="AF46" s="23">
        <f>[2]!s_stm07_bs($C$6,"W47653457",AF6,1,1000000)</f>
        <v>437</v>
      </c>
      <c r="AG46" s="23">
        <f>[2]!s_stm07_bs($C$6,"W47653457",AG6,1,1000000)</f>
        <v>420</v>
      </c>
      <c r="AH46" s="23">
        <f>[2]!s_stm07_bs($C$6,"W47653457",AH6,1,1000000)</f>
        <v>459</v>
      </c>
      <c r="AI46" s="23">
        <f>[2]!s_stm07_bs($C$6,"W47653457",AI6,1,1000000)</f>
        <v>470</v>
      </c>
      <c r="AJ46" s="23">
        <f>[2]!s_stm07_bs($C$6,"W47653457",AJ6,1,1000000)</f>
        <v>543</v>
      </c>
      <c r="AK46" s="23">
        <f>[2]!s_stm07_bs($C$6,"W47653457",AK6,1,1000000)</f>
        <v>451</v>
      </c>
      <c r="AL46" s="23">
        <f>[2]!s_stm07_bs($C$6,"W47653457",AL6,1,1000000)</f>
        <v>443</v>
      </c>
      <c r="AM46" s="23">
        <f>[2]!s_stm07_bs($C$6,"W47653457",AM6,1,1000000)</f>
        <v>474</v>
      </c>
      <c r="AN46" s="23">
        <f>[2]!s_stm07_bs($C$6,"W47653457",AN6,1,1000000)</f>
        <v>528</v>
      </c>
      <c r="AO46" s="23">
        <f>[2]!s_stm07_bs($C$6,"W47653457",AO6,1,1000000)</f>
        <v>995</v>
      </c>
      <c r="AP46" s="23">
        <f>[2]!s_stm07_bs($C$6,"W47653457",AP6,1,1000000)</f>
        <v>898</v>
      </c>
      <c r="AQ46" s="23">
        <f>[2]!s_stm07_bs($C$6,"W47653457",AQ6,1,1000000)</f>
        <v>885</v>
      </c>
      <c r="AR46" s="23">
        <f>[2]!s_stm07_bs($C$6,"W47653457",AR6,1,1000000)</f>
        <v>1033</v>
      </c>
      <c r="AS46" s="23">
        <f>[2]!s_stm07_bs($C$6,"W47653457",AS6,1,1000000)</f>
        <v>604</v>
      </c>
      <c r="AT46" s="23">
        <f>[2]!s_stm07_bs($C$6,"W47653457",AT6,1,1000000)</f>
        <v>607</v>
      </c>
      <c r="AU46" s="24"/>
      <c r="AV46" s="25"/>
    </row>
    <row r="47" spans="3:48" ht="13.15" x14ac:dyDescent="0.35">
      <c r="C47" s="27" t="s">
        <v>75</v>
      </c>
      <c r="E47" s="28">
        <f t="shared" ref="E47:AT47" si="5">E48-SUM(E33:E46)</f>
        <v>160251</v>
      </c>
      <c r="F47" s="28">
        <f t="shared" si="5"/>
        <v>138281</v>
      </c>
      <c r="G47" s="28">
        <f t="shared" si="5"/>
        <v>128392</v>
      </c>
      <c r="H47" s="28">
        <f t="shared" si="5"/>
        <v>147803</v>
      </c>
      <c r="I47" s="28">
        <f t="shared" si="5"/>
        <v>124252</v>
      </c>
      <c r="J47" s="28">
        <f t="shared" si="5"/>
        <v>142420</v>
      </c>
      <c r="K47" s="28">
        <f t="shared" si="5"/>
        <v>149037</v>
      </c>
      <c r="L47" s="28">
        <f t="shared" si="5"/>
        <v>148432</v>
      </c>
      <c r="M47" s="28">
        <f t="shared" si="5"/>
        <v>150059</v>
      </c>
      <c r="N47" s="28">
        <f t="shared" si="5"/>
        <v>168969</v>
      </c>
      <c r="O47" s="28">
        <f t="shared" si="5"/>
        <v>165711</v>
      </c>
      <c r="P47" s="28">
        <f t="shared" si="5"/>
        <v>157059</v>
      </c>
      <c r="Q47" s="28">
        <f t="shared" si="5"/>
        <v>147496</v>
      </c>
      <c r="R47" s="28">
        <f t="shared" si="5"/>
        <v>170306</v>
      </c>
      <c r="S47" s="28">
        <f t="shared" si="5"/>
        <v>165626</v>
      </c>
      <c r="T47" s="28">
        <f t="shared" si="5"/>
        <v>184844</v>
      </c>
      <c r="U47" s="28">
        <f t="shared" si="5"/>
        <v>168115</v>
      </c>
      <c r="V47" s="28">
        <f t="shared" si="5"/>
        <v>180584</v>
      </c>
      <c r="W47" s="28">
        <f t="shared" si="5"/>
        <v>278975</v>
      </c>
      <c r="X47" s="28">
        <f t="shared" si="5"/>
        <v>208995</v>
      </c>
      <c r="Y47" s="28">
        <f t="shared" si="5"/>
        <v>195037</v>
      </c>
      <c r="Z47" s="28">
        <f t="shared" si="5"/>
        <v>220677</v>
      </c>
      <c r="AA47" s="28">
        <f t="shared" si="5"/>
        <v>334247</v>
      </c>
      <c r="AB47" s="28">
        <f t="shared" si="5"/>
        <v>249000</v>
      </c>
      <c r="AC47" s="28">
        <f t="shared" si="5"/>
        <v>348221</v>
      </c>
      <c r="AD47" s="28">
        <f t="shared" si="5"/>
        <v>396289</v>
      </c>
      <c r="AE47" s="28">
        <f t="shared" si="5"/>
        <v>645299</v>
      </c>
      <c r="AF47" s="28">
        <f t="shared" si="5"/>
        <v>379600</v>
      </c>
      <c r="AG47" s="28">
        <f t="shared" si="5"/>
        <v>400830</v>
      </c>
      <c r="AH47" s="28">
        <f t="shared" si="5"/>
        <v>415544</v>
      </c>
      <c r="AI47" s="28">
        <f t="shared" si="5"/>
        <v>438189</v>
      </c>
      <c r="AJ47" s="28">
        <f t="shared" si="5"/>
        <v>451796</v>
      </c>
      <c r="AK47" s="28">
        <f t="shared" si="5"/>
        <v>424930</v>
      </c>
      <c r="AL47" s="28">
        <f t="shared" si="5"/>
        <v>440572</v>
      </c>
      <c r="AM47" s="28">
        <f t="shared" si="5"/>
        <v>551474</v>
      </c>
      <c r="AN47" s="28">
        <f t="shared" si="5"/>
        <v>460892</v>
      </c>
      <c r="AO47" s="28">
        <f t="shared" si="5"/>
        <v>545388</v>
      </c>
      <c r="AP47" s="28">
        <f t="shared" si="5"/>
        <v>550579</v>
      </c>
      <c r="AQ47" s="28">
        <f t="shared" si="5"/>
        <v>682506</v>
      </c>
      <c r="AR47" s="28">
        <f t="shared" si="5"/>
        <v>582511</v>
      </c>
      <c r="AS47" s="28">
        <f t="shared" si="5"/>
        <v>594049</v>
      </c>
      <c r="AT47" s="28">
        <f t="shared" si="5"/>
        <v>574391</v>
      </c>
      <c r="AU47" s="24">
        <f>AT47-AS47</f>
        <v>-19658</v>
      </c>
      <c r="AV47" s="25">
        <f t="shared" si="3"/>
        <v>-0.59139590854392299</v>
      </c>
    </row>
    <row r="48" spans="3:48" ht="13.5" thickBot="1" x14ac:dyDescent="0.45">
      <c r="C48" s="29" t="s">
        <v>76</v>
      </c>
      <c r="E48" s="30">
        <f>[2]!s_stm07_bs($C$6,"W47401840",E6,1,1000000)</f>
        <v>7037685</v>
      </c>
      <c r="F48" s="30">
        <f>[2]!s_stm07_bs($C$6,"W47401840",F6,1,1000000)</f>
        <v>7390853</v>
      </c>
      <c r="G48" s="30">
        <f>[2]!s_stm07_bs($C$6,"W47401840",G6,1,1000000)</f>
        <v>7800671</v>
      </c>
      <c r="H48" s="30">
        <f>[2]!s_stm07_bs($C$6,"W47401840",H6,1,1000000)</f>
        <v>8071719</v>
      </c>
      <c r="I48" s="30">
        <f>[2]!s_stm07_bs($C$6,"W47401840",I6,1,1000000)</f>
        <v>8140036</v>
      </c>
      <c r="J48" s="30">
        <f>[2]!s_stm07_bs($C$6,"W47401840",J6,1,1000000)</f>
        <v>8570456</v>
      </c>
      <c r="K48" s="30">
        <f>[2]!s_stm07_bs($C$6,"W47401840",K6,1,1000000)</f>
        <v>8845618</v>
      </c>
      <c r="L48" s="30">
        <f>[2]!s_stm07_bs($C$6,"W47401840",L6,1,1000000)</f>
        <v>8798528</v>
      </c>
      <c r="M48" s="30">
        <f>[2]!s_stm07_bs($C$6,"W47401840",M6,1,1000000)</f>
        <v>9150516</v>
      </c>
      <c r="N48" s="30">
        <f>[2]!s_stm07_bs($C$6,"W47401840",N6,1,1000000)</f>
        <v>10338381</v>
      </c>
      <c r="O48" s="30">
        <f>[2]!s_stm07_bs($C$6,"W47401840",O6,1,1000000)</f>
        <v>10814166</v>
      </c>
      <c r="P48" s="30">
        <f>[2]!s_stm07_bs($C$6,"W47401840",P6,1,1000000)</f>
        <v>11019227</v>
      </c>
      <c r="Q48" s="30">
        <f>[2]!s_stm07_bs($C$6,"W47401840",Q6,1,1000000)</f>
        <v>11106119</v>
      </c>
      <c r="R48" s="30">
        <f>[2]!s_stm07_bs($C$6,"W47401840",R6,1,1000000)</f>
        <v>11829184</v>
      </c>
      <c r="S48" s="30">
        <f>[2]!s_stm07_bs($C$6,"W47401840",S6,1,1000000)</f>
        <v>12250781</v>
      </c>
      <c r="T48" s="30">
        <f>[2]!s_stm07_bs($C$6,"W47401840",T6,1,1000000)</f>
        <v>12658382</v>
      </c>
      <c r="U48" s="30">
        <f>[2]!s_stm07_bs($C$6,"W47401840",U6,1,1000000)</f>
        <v>12636965</v>
      </c>
      <c r="V48" s="30">
        <f>[2]!s_stm07_bs($C$6,"W47401840",V6,1,1000000)</f>
        <v>13517771</v>
      </c>
      <c r="W48" s="30">
        <f>[2]!s_stm07_bs($C$6,"W47401840",W6,1,1000000)</f>
        <v>14036433</v>
      </c>
      <c r="X48" s="30">
        <f>[2]!s_stm07_bs($C$6,"W47401840",X6,1,1000000)</f>
        <v>14225136</v>
      </c>
      <c r="Y48" s="30">
        <f>[2]!s_stm07_bs($C$6,"W47401840",Y6,1,1000000)</f>
        <v>14519045</v>
      </c>
      <c r="Z48" s="30">
        <f>[2]!s_stm07_bs($C$6,"W47401840",Z6,1,1000000)</f>
        <v>15408253</v>
      </c>
      <c r="AA48" s="30">
        <f>[2]!s_stm07_bs($C$6,"W47401840",AA6,1,1000000)</f>
        <v>16055602</v>
      </c>
      <c r="AB48" s="30">
        <f>[2]!s_stm07_bs($C$6,"W47401840",AB6,1,1000000)</f>
        <v>16295876</v>
      </c>
      <c r="AC48" s="30">
        <f>[2]!s_stm07_bs($C$6,"W47401840",AC6,1,1000000)</f>
        <v>16413758</v>
      </c>
      <c r="AD48" s="30">
        <f>[2]!s_stm07_bs($C$6,"W47401840",AD6,1,1000000)</f>
        <v>17159463</v>
      </c>
      <c r="AE48" s="30">
        <f>[2]!s_stm07_bs($C$6,"W47401840",AE6,1,1000000)</f>
        <v>17548260</v>
      </c>
      <c r="AF48" s="30">
        <f>[2]!s_stm07_bs($C$6,"W47401840",AF6,1,1000000)</f>
        <v>17507159</v>
      </c>
      <c r="AG48" s="30">
        <f>[2]!s_stm07_bs($C$6,"W47401840",AG6,1,1000000)</f>
        <v>17639289</v>
      </c>
      <c r="AH48" s="30">
        <f>[2]!s_stm07_bs($C$6,"W47401840",AH6,1,1000000)</f>
        <v>18371763</v>
      </c>
      <c r="AI48" s="30">
        <f>[2]!s_stm07_bs($C$6,"W47401840",AI6,1,1000000)</f>
        <v>18944174</v>
      </c>
      <c r="AJ48" s="30">
        <f>[2]!s_stm07_bs($C$6,"W47401840",AJ6,1,1000000)</f>
        <v>18718581</v>
      </c>
      <c r="AK48" s="30">
        <f>[2]!s_stm07_bs($C$6,"W47401840",AK6,1,1000000)</f>
        <v>19072649</v>
      </c>
      <c r="AL48" s="30">
        <f>[2]!s_stm07_bs($C$6,"W47401840",AL6,1,1000000)</f>
        <v>19775373</v>
      </c>
      <c r="AM48" s="30">
        <f>[2]!s_stm07_bs($C$6,"W47401840",AM6,1,1000000)</f>
        <v>20803658</v>
      </c>
      <c r="AN48" s="30">
        <f>[2]!s_stm07_bs($C$6,"W47401840",AN6,1,1000000)</f>
        <v>20414265</v>
      </c>
      <c r="AO48" s="30">
        <f>[2]!s_stm07_bs($C$6,"W47401840",AO6,1,1000000)</f>
        <v>20409261</v>
      </c>
      <c r="AP48" s="30">
        <f>[2]!s_stm07_bs($C$6,"W47401840",AP6,1,1000000)</f>
        <v>21009246</v>
      </c>
      <c r="AQ48" s="30">
        <f>[2]!s_stm07_bs($C$6,"W47401840",AQ6,1,1000000)</f>
        <v>21656550</v>
      </c>
      <c r="AR48" s="30">
        <f>[2]!s_stm07_bs($C$6,"W47401840",AR6,1,1000000)</f>
        <v>21692477</v>
      </c>
      <c r="AS48" s="30">
        <f>[2]!s_stm07_bs($C$6,"W47401840",AS6,1,1000000)</f>
        <v>22156102</v>
      </c>
      <c r="AT48" s="30">
        <f>[2]!s_stm07_bs($C$6,"W47401840",AT6,1,1000000)</f>
        <v>22859965</v>
      </c>
      <c r="AU48" s="24">
        <f>AT48-AS48</f>
        <v>703863</v>
      </c>
    </row>
    <row r="50" spans="3:47" ht="13.5" thickBot="1" x14ac:dyDescent="0.45">
      <c r="C50" s="34" t="s">
        <v>77</v>
      </c>
    </row>
    <row r="51" spans="3:47" x14ac:dyDescent="0.35">
      <c r="C51" s="41" t="s">
        <v>78</v>
      </c>
      <c r="E51" s="42">
        <f>[2]!s_stm07_bs($C$6,"W43225999",E6,1,1000000)</f>
        <v>334019</v>
      </c>
      <c r="F51" s="42">
        <f>[2]!s_stm07_bs($C$6,"W43225999",F6,1,1000000)</f>
        <v>334019</v>
      </c>
      <c r="G51" s="42">
        <f>[2]!s_stm07_bs($C$6,"W43225999",G6,1,1000000)</f>
        <v>334019</v>
      </c>
      <c r="H51" s="42">
        <f>[2]!s_stm07_bs($C$6,"W43225999",H6,1,1000000)</f>
        <v>334019</v>
      </c>
      <c r="I51" s="42">
        <f>[2]!s_stm07_bs($C$6,"W43225999",I6,1,1000000)</f>
        <v>334019</v>
      </c>
      <c r="J51" s="42">
        <f>[2]!s_stm07_bs($C$6,"W43225999",J6,1,1000000)</f>
        <v>334019</v>
      </c>
      <c r="K51" s="42">
        <f>[2]!s_stm07_bs($C$6,"W43225999",K6,1,1000000)</f>
        <v>334019</v>
      </c>
      <c r="L51" s="42">
        <f>[2]!s_stm07_bs($C$6,"W43225999",L6,1,1000000)</f>
        <v>334019</v>
      </c>
      <c r="M51" s="42">
        <f>[2]!s_stm07_bs($C$6,"W43225999",M6,1,1000000)</f>
        <v>334019</v>
      </c>
      <c r="N51" s="42">
        <f>[2]!s_stm07_bs($C$6,"W43225999",N6,1,1000000)</f>
        <v>334019</v>
      </c>
      <c r="O51" s="42">
        <f>[2]!s_stm07_bs($C$6,"W43225999",O6,1,1000000)</f>
        <v>334019</v>
      </c>
      <c r="P51" s="42">
        <f>[2]!s_stm07_bs($C$6,"W43225999",P6,1,1000000)</f>
        <v>334019</v>
      </c>
      <c r="Q51" s="42">
        <f>[2]!s_stm07_bs($C$6,"W43225999",Q6,1,1000000)</f>
        <v>334019</v>
      </c>
      <c r="R51" s="42">
        <f>[2]!s_stm07_bs($C$6,"W43225999",R6,1,1000000)</f>
        <v>334019</v>
      </c>
      <c r="S51" s="42">
        <f>[2]!s_stm07_bs($C$6,"W43225999",S6,1,1000000)</f>
        <v>334019</v>
      </c>
      <c r="T51" s="42">
        <f>[2]!s_stm07_bs($C$6,"W43225999",T6,1,1000000)</f>
        <v>334019</v>
      </c>
      <c r="U51" s="42">
        <f>[2]!s_stm07_bs($C$6,"W43225999",U6,1,1000000)</f>
        <v>349019</v>
      </c>
      <c r="V51" s="42">
        <f>[2]!s_stm07_bs($C$6,"W43225999",V6,1,1000000)</f>
        <v>349019</v>
      </c>
      <c r="W51" s="42">
        <f>[2]!s_stm07_bs($C$6,"W43225999",W6,1,1000000)</f>
        <v>349020</v>
      </c>
      <c r="X51" s="42">
        <f>[2]!s_stm07_bs($C$6,"W43225999",X6,1,1000000)</f>
        <v>349020</v>
      </c>
      <c r="Y51" s="42">
        <f>[2]!s_stm07_bs($C$6,"W43225999",Y6,1,1000000)</f>
        <v>349084</v>
      </c>
      <c r="Z51" s="42">
        <f>[2]!s_stm07_bs($C$6,"W43225999",Z6,1,1000000)</f>
        <v>349313</v>
      </c>
      <c r="AA51" s="42">
        <f>[2]!s_stm07_bs($C$6,"W43225999",AA6,1,1000000)</f>
        <v>349322</v>
      </c>
      <c r="AB51" s="42">
        <f>[2]!s_stm07_bs($C$6,"W43225999",AB6,1,1000000)</f>
        <v>349322</v>
      </c>
      <c r="AC51" s="42">
        <f>[2]!s_stm07_bs($C$6,"W43225999",AC6,1,1000000)</f>
        <v>349620</v>
      </c>
      <c r="AD51" s="42">
        <f>[2]!s_stm07_bs($C$6,"W43225999",AD6,1,1000000)</f>
        <v>349643</v>
      </c>
      <c r="AE51" s="42">
        <f>[2]!s_stm07_bs($C$6,"W43225999",AE6,1,1000000)</f>
        <v>349650</v>
      </c>
      <c r="AF51" s="42">
        <f>[2]!s_stm07_bs($C$6,"W43225999",AF6,1,1000000)</f>
        <v>350572</v>
      </c>
      <c r="AG51" s="42">
        <f>[2]!s_stm07_bs($C$6,"W43225999",AG6,1,1000000)</f>
        <v>351390</v>
      </c>
      <c r="AH51" s="42">
        <f>[2]!s_stm07_bs($C$6,"W43225999",AH6,1,1000000)</f>
        <v>351391</v>
      </c>
      <c r="AI51" s="42">
        <f>[2]!s_stm07_bs($C$6,"W43225999",AI6,1,1000000)</f>
        <v>351406</v>
      </c>
      <c r="AJ51" s="42">
        <f>[2]!s_stm07_bs($C$6,"W43225999",AJ6,1,1000000)</f>
        <v>351513</v>
      </c>
      <c r="AK51" s="42">
        <f>[2]!s_stm07_bs($C$6,"W43225999",AK6,1,1000000)</f>
        <v>353495</v>
      </c>
      <c r="AL51" s="42">
        <f>[2]!s_stm07_bs($C$6,"W43225999",AL6,1,1000000)</f>
        <v>356407</v>
      </c>
      <c r="AM51" s="42">
        <f>[2]!s_stm07_bs($C$6,"W43225999",AM6,1,1000000)</f>
        <v>356407</v>
      </c>
      <c r="AN51" s="42">
        <f>[2]!s_stm07_bs($C$6,"W43225999",AN6,1,1000000)</f>
        <v>356407</v>
      </c>
      <c r="AO51" s="42">
        <f>[2]!s_stm07_bs($C$6,"W43225999",AO6,1,1000000)</f>
        <v>356407</v>
      </c>
      <c r="AP51" s="42">
        <f>[2]!s_stm07_bs($C$6,"W43225999",AP6,1,1000000)</f>
        <v>356407</v>
      </c>
      <c r="AQ51" s="42">
        <f>[2]!s_stm07_bs($C$6,"W43225999",AQ6,1,1000000)</f>
        <v>356407</v>
      </c>
      <c r="AR51" s="42">
        <f>[2]!s_stm07_bs($C$6,"W43225999",AR6,1,1000000)</f>
        <v>356407</v>
      </c>
      <c r="AS51" s="42">
        <f>[2]!s_stm07_bs($C$6,"W43225999",AS6,1,1000000)</f>
        <v>356407</v>
      </c>
      <c r="AT51" s="42">
        <f>[2]!s_stm07_bs($C$6,"W43225999",AT6,1,1000000)</f>
        <v>356407</v>
      </c>
    </row>
    <row r="52" spans="3:47" s="44" customFormat="1" ht="13.15" x14ac:dyDescent="0.35">
      <c r="C52" s="43" t="s">
        <v>79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6" t="s">
        <v>80</v>
      </c>
    </row>
    <row r="53" spans="3:47" x14ac:dyDescent="0.35">
      <c r="C53" s="17" t="s">
        <v>81</v>
      </c>
      <c r="E53" s="47">
        <f>[2]!s_stm07_bs($C$6,"W42156082",E6,1,1000000)</f>
        <v>109701</v>
      </c>
      <c r="F53" s="47">
        <f>[2]!s_stm07_bs($C$6,"W42156082",F6,1,1000000)</f>
        <v>109233</v>
      </c>
      <c r="G53" s="47">
        <f>[2]!s_stm07_bs($C$6,"W42156082",G6,1,1000000)</f>
        <v>105747</v>
      </c>
      <c r="H53" s="47">
        <f>[2]!s_stm07_bs($C$6,"W42156082",H6,1,1000000)</f>
        <v>105765</v>
      </c>
      <c r="I53" s="47">
        <f>[2]!s_stm07_bs($C$6,"W42156082",I6,1,1000000)</f>
        <v>106207</v>
      </c>
      <c r="J53" s="47">
        <f>[2]!s_stm07_bs($C$6,"W42156082",J6,1,1000000)</f>
        <v>101101</v>
      </c>
      <c r="K53" s="47">
        <f>[2]!s_stm07_bs($C$6,"W42156082",K6,1,1000000)</f>
        <v>99976</v>
      </c>
      <c r="L53" s="47">
        <f>[2]!s_stm07_bs($C$6,"W42156082",L6,1,1000000)</f>
        <v>104456</v>
      </c>
      <c r="M53" s="47">
        <f>[2]!s_stm07_bs($C$6,"W42156082",M6,1,1000000)</f>
        <v>112243</v>
      </c>
      <c r="N53" s="47">
        <f>[2]!s_stm07_bs($C$6,"W42156082",N6,1,1000000)</f>
        <v>111356</v>
      </c>
      <c r="O53" s="47">
        <f>[2]!s_stm07_bs($C$6,"W42156082",O6,1,1000000)</f>
        <v>108955</v>
      </c>
      <c r="P53" s="47">
        <f>[2]!s_stm07_bs($C$6,"W42156082",P6,1,1000000)</f>
        <v>103342</v>
      </c>
      <c r="Q53" s="47">
        <f>[2]!s_stm07_bs($C$6,"W42156082",Q6,1,1000000)</f>
        <v>102156</v>
      </c>
      <c r="R53" s="47">
        <f>[2]!s_stm07_bs($C$6,"W42156082",R6,1,1000000)</f>
        <v>105668</v>
      </c>
      <c r="S53" s="47">
        <f>[2]!s_stm07_bs($C$6,"W42156082",S6,1,1000000)</f>
        <v>106484</v>
      </c>
      <c r="T53" s="47">
        <f>[2]!s_stm07_bs($C$6,"W42156082",T6,1,1000000)</f>
        <v>110231</v>
      </c>
      <c r="U53" s="47">
        <f>[2]!s_stm07_bs($C$6,"W42156082",U6,1,1000000)</f>
        <v>122820</v>
      </c>
      <c r="V53" s="47">
        <f>[2]!s_stm07_bs($C$6,"W42156082",V6,1,1000000)</f>
        <v>121554</v>
      </c>
      <c r="W53" s="47">
        <f>[2]!s_stm07_bs($C$6,"W42156082",W6,1,1000000)</f>
        <v>118317</v>
      </c>
      <c r="X53" s="47">
        <f>[2]!s_stm07_bs($C$6,"W42156082",X6,1,1000000)</f>
        <v>113416</v>
      </c>
      <c r="Y53" s="47">
        <f>[2]!s_stm07_bs($C$6,"W42156082",Y6,1,1000000)</f>
        <v>126395</v>
      </c>
      <c r="Z53" s="47">
        <f>[2]!s_stm07_bs($C$6,"W42156082",Z6,1,1000000)</f>
        <v>127742</v>
      </c>
      <c r="AA53" s="47">
        <f>[2]!s_stm07_bs($C$6,"W42156082",AA6,1,1000000)</f>
        <v>134174</v>
      </c>
      <c r="AB53" s="47">
        <f>[2]!s_stm07_bs($C$6,"W42156082",AB6,1,1000000)</f>
        <v>128838</v>
      </c>
      <c r="AC53" s="47">
        <f>[2]!s_stm07_bs($C$6,"W42156082",AC6,1,1000000)</f>
        <v>128524</v>
      </c>
      <c r="AD53" s="47">
        <f>[2]!s_stm07_bs($C$6,"W42156082",AD6,1,1000000)</f>
        <v>131890</v>
      </c>
      <c r="AE53" s="47">
        <f>[2]!s_stm07_bs($C$6,"W42156082",AE6,1,1000000)</f>
        <v>128067</v>
      </c>
      <c r="AF53" s="47">
        <f>[2]!s_stm07_bs($C$6,"W42156082",AF6,1,1000000)</f>
        <v>121255</v>
      </c>
      <c r="AG53" s="47">
        <f>[2]!s_stm07_bs($C$6,"W42156082",AG6,1,1000000)</f>
        <v>108023</v>
      </c>
      <c r="AH53" s="47">
        <f>[2]!s_stm07_bs($C$6,"W42156082",AH6,1,1000000)</f>
        <v>116965</v>
      </c>
      <c r="AI53" s="47">
        <f>[2]!s_stm07_bs($C$6,"W42156082",AI6,1,1000000)</f>
        <v>130611</v>
      </c>
      <c r="AJ53" s="47">
        <f>[2]!s_stm07_bs($C$6,"W42156082",AJ6,1,1000000)</f>
        <v>134387</v>
      </c>
      <c r="AK53" s="47">
        <f>[2]!s_stm07_bs($C$6,"W42156082",AK6,1,1000000)</f>
        <v>144874</v>
      </c>
      <c r="AL53" s="47">
        <f>[2]!s_stm07_bs($C$6,"W42156082",AL6,1,1000000)</f>
        <v>152202</v>
      </c>
      <c r="AM53" s="47">
        <f>[2]!s_stm07_bs($C$6,"W42156082",AM6,1,1000000)</f>
        <v>152193</v>
      </c>
      <c r="AN53" s="47">
        <f>[2]!s_stm07_bs($C$6,"W42156082",AN6,1,1000000)</f>
        <v>152029</v>
      </c>
      <c r="AO53" s="47">
        <f>[2]!s_stm07_bs($C$6,"W42156082",AO6,1,1000000)</f>
        <v>151963</v>
      </c>
      <c r="AP53" s="47">
        <f>[2]!s_stm07_bs($C$6,"W42156082",AP6,1,1000000)</f>
        <v>151968</v>
      </c>
      <c r="AQ53" s="47">
        <f>[2]!s_stm07_bs($C$6,"W42156082",AQ6,1,1000000)</f>
        <v>151987</v>
      </c>
      <c r="AR53" s="47">
        <f>[2]!s_stm07_bs($C$6,"W42156082",AR6,1,1000000)</f>
        <v>151981</v>
      </c>
      <c r="AS53" s="47">
        <f>[2]!s_stm07_bs($C$6,"W42156082",AS6,1,1000000)</f>
        <v>151998</v>
      </c>
      <c r="AT53" s="47">
        <f>[2]!s_stm07_bs($C$6,"W42156082",AT6,1,1000000)</f>
        <v>151998</v>
      </c>
    </row>
    <row r="54" spans="3:47" ht="13.15" x14ac:dyDescent="0.35">
      <c r="C54" s="27" t="s">
        <v>82</v>
      </c>
      <c r="E54" s="47">
        <f>[2]!s_stm07_bs($C$6,"163",E6,1,1000000)</f>
        <v>0</v>
      </c>
      <c r="F54" s="47">
        <f>[2]!s_stm07_bs($C$6,"163",F6,1,1000000)</f>
        <v>0</v>
      </c>
      <c r="G54" s="47">
        <f>[2]!s_stm07_bs($C$6,"163",G6,1,1000000)</f>
        <v>0</v>
      </c>
      <c r="H54" s="47">
        <f>[2]!s_stm07_bs($C$6,"163",H6,1,1000000)</f>
        <v>0</v>
      </c>
      <c r="I54" s="47">
        <f>[2]!s_stm07_bs($C$6,"163",I6,1,1000000)</f>
        <v>0</v>
      </c>
      <c r="J54" s="47">
        <f>[2]!s_stm07_bs($C$6,"163",J6,1,1000000)</f>
        <v>0</v>
      </c>
      <c r="K54" s="47">
        <f>[2]!s_stm07_bs($C$6,"163",K6,1,1000000)</f>
        <v>0</v>
      </c>
      <c r="L54" s="47">
        <f>[2]!s_stm07_bs($C$6,"163",L6,1,1000000)</f>
        <v>0</v>
      </c>
      <c r="M54" s="47">
        <f>[2]!s_stm07_bs($C$6,"163",M6,1,1000000)</f>
        <v>0</v>
      </c>
      <c r="N54" s="47">
        <f>[2]!s_stm07_bs($C$6,"163",N6,1,1000000)</f>
        <v>0</v>
      </c>
      <c r="O54" s="47">
        <f>[2]!s_stm07_bs($C$6,"163",O6,1,1000000)</f>
        <v>0</v>
      </c>
      <c r="P54" s="47">
        <f>[2]!s_stm07_bs($C$6,"163",P6,1,1000000)</f>
        <v>0</v>
      </c>
      <c r="Q54" s="47">
        <f>[2]!s_stm07_bs($C$6,"163",Q6,1,1000000)</f>
        <v>0</v>
      </c>
      <c r="R54" s="47">
        <f>[2]!s_stm07_bs($C$6,"163",R6,1,1000000)</f>
        <v>0</v>
      </c>
      <c r="S54" s="47">
        <f>[2]!s_stm07_bs($C$6,"163",S6,1,1000000)</f>
        <v>0</v>
      </c>
      <c r="T54" s="47">
        <f>[2]!s_stm07_bs($C$6,"163",T6,1,1000000)</f>
        <v>0</v>
      </c>
      <c r="U54" s="47">
        <f>[2]!s_stm07_bs($C$6,"163",U6,1,1000000)</f>
        <v>0</v>
      </c>
      <c r="V54" s="47">
        <f>[2]!s_stm07_bs($C$6,"163",V6,1,1000000)</f>
        <v>0</v>
      </c>
      <c r="W54" s="47">
        <f>[2]!s_stm07_bs($C$6,"163",W6,1,1000000)</f>
        <v>0</v>
      </c>
      <c r="X54" s="47">
        <f>[2]!s_stm07_bs($C$6,"163",X6,1,1000000)</f>
        <v>0</v>
      </c>
      <c r="Y54" s="47">
        <f>[2]!s_stm07_bs($C$6,"163",Y6,1,1000000)</f>
        <v>0</v>
      </c>
      <c r="Z54" s="47">
        <f>[2]!s_stm07_bs($C$6,"163",Z6,1,1000000)</f>
        <v>0</v>
      </c>
      <c r="AA54" s="47">
        <f>[2]!s_stm07_bs($C$6,"163",AA6,1,1000000)</f>
        <v>0</v>
      </c>
      <c r="AB54" s="47">
        <f>[2]!s_stm07_bs($C$6,"163",AB6,1,1000000)</f>
        <v>0</v>
      </c>
      <c r="AC54" s="47">
        <f>[2]!s_stm07_bs($C$6,"163",AC6,1,1000000)</f>
        <v>0</v>
      </c>
      <c r="AD54" s="47">
        <f>[2]!s_stm07_bs($C$6,"163",AD6,1,1000000)</f>
        <v>0</v>
      </c>
      <c r="AE54" s="47">
        <f>[2]!s_stm07_bs($C$6,"163",AE6,1,1000000)</f>
        <v>0</v>
      </c>
      <c r="AF54" s="47">
        <f>[2]!s_stm07_bs($C$6,"163",AF6,1,1000000)</f>
        <v>0</v>
      </c>
      <c r="AG54" s="47">
        <f>[2]!s_stm07_bs($C$6,"163",AG6,1,1000000)</f>
        <v>0</v>
      </c>
      <c r="AH54" s="47">
        <f>[2]!s_stm07_bs($C$6,"163",AH6,1,1000000)</f>
        <v>0</v>
      </c>
      <c r="AI54" s="47">
        <f>[2]!s_stm07_bs($C$6,"163",AI6,1,1000000)</f>
        <v>0</v>
      </c>
      <c r="AJ54" s="47">
        <f>[2]!s_stm07_bs($C$6,"163",AJ6,1,1000000)</f>
        <v>0</v>
      </c>
      <c r="AK54" s="47">
        <f>[2]!s_stm07_bs($C$6,"163",AK6,1,1000000)</f>
        <v>-24548</v>
      </c>
      <c r="AL54" s="47">
        <f>[2]!s_stm07_bs($C$6,"163",AL6,1,1000000)</f>
        <v>-28643</v>
      </c>
      <c r="AM54" s="47">
        <f>[2]!s_stm07_bs($C$6,"163",AM6,1,1000000)</f>
        <v>-20608</v>
      </c>
      <c r="AN54" s="47">
        <f>[2]!s_stm07_bs($C$6,"163",AN6,1,1000000)</f>
        <v>-16181</v>
      </c>
      <c r="AO54" s="47">
        <f>[2]!s_stm07_bs($C$6,"163",AO6,1,1000000)</f>
        <v>-4655</v>
      </c>
      <c r="AP54" s="47">
        <f>[2]!s_stm07_bs($C$6,"163",AP6,1,1000000)</f>
        <v>-5718</v>
      </c>
      <c r="AQ54" s="47">
        <f>[2]!s_stm07_bs($C$6,"163",AQ6,1,1000000)</f>
        <v>-4627</v>
      </c>
      <c r="AR54" s="47">
        <f>[2]!s_stm07_bs($C$6,"163",AR6,1,1000000)</f>
        <v>1817</v>
      </c>
      <c r="AS54" s="47">
        <f>[2]!s_stm07_bs($C$6,"163",AS6,1,1000000)</f>
        <v>-21738</v>
      </c>
      <c r="AT54" s="47">
        <f>[2]!s_stm07_bs($C$6,"163",AT6,1,1000000)</f>
        <v>-34381</v>
      </c>
    </row>
    <row r="55" spans="3:47" x14ac:dyDescent="0.35">
      <c r="C55" s="17" t="s">
        <v>83</v>
      </c>
      <c r="E55" s="47">
        <f>[2]!s_stm07_bs($C$6,"W48226390",E6,1,1000000)</f>
        <v>5464</v>
      </c>
      <c r="F55" s="47">
        <f>[2]!s_stm07_bs($C$6,"W48226390",F6,1,1000000)</f>
        <v>5466</v>
      </c>
      <c r="G55" s="47">
        <f>[2]!s_stm07_bs($C$6,"W48226390",G6,1,1000000)</f>
        <v>5467</v>
      </c>
      <c r="H55" s="47">
        <f>[2]!s_stm07_bs($C$6,"W48226390",H6,1,1000000)</f>
        <v>5467</v>
      </c>
      <c r="I55" s="47">
        <f>[2]!s_stm07_bs($C$6,"W48226390",I6,1,1000000)</f>
        <v>13536</v>
      </c>
      <c r="J55" s="47">
        <f>[2]!s_stm07_bs($C$6,"W48226390",J6,1,1000000)</f>
        <v>13536</v>
      </c>
      <c r="K55" s="47">
        <f>[2]!s_stm07_bs($C$6,"W48226390",K6,1,1000000)</f>
        <v>13610</v>
      </c>
      <c r="L55" s="47">
        <f>[2]!s_stm07_bs($C$6,"W48226390",L6,1,1000000)</f>
        <v>13610</v>
      </c>
      <c r="M55" s="47">
        <f>[2]!s_stm07_bs($C$6,"W48226390",M6,1,1000000)</f>
        <v>24650</v>
      </c>
      <c r="N55" s="47">
        <f>[2]!s_stm07_bs($C$6,"W48226390",N6,1,1000000)</f>
        <v>24650</v>
      </c>
      <c r="O55" s="47">
        <f>[2]!s_stm07_bs($C$6,"W48226390",O6,1,1000000)</f>
        <v>24650</v>
      </c>
      <c r="P55" s="47">
        <f>[2]!s_stm07_bs($C$6,"W48226390",P6,1,1000000)</f>
        <v>24659</v>
      </c>
      <c r="Q55" s="47">
        <f>[2]!s_stm07_bs($C$6,"W48226390",Q6,1,1000000)</f>
        <v>37484</v>
      </c>
      <c r="R55" s="47">
        <f>[2]!s_stm07_bs($C$6,"W48226390",R6,1,1000000)</f>
        <v>37484</v>
      </c>
      <c r="S55" s="47">
        <f>[2]!s_stm07_bs($C$6,"W48226390",S6,1,1000000)</f>
        <v>37527</v>
      </c>
      <c r="T55" s="47">
        <f>[2]!s_stm07_bs($C$6,"W48226390",T6,1,1000000)</f>
        <v>37527</v>
      </c>
      <c r="U55" s="47">
        <f>[2]!s_stm07_bs($C$6,"W48226390",U6,1,1000000)</f>
        <v>53782</v>
      </c>
      <c r="V55" s="47">
        <f>[2]!s_stm07_bs($C$6,"W48226390",V6,1,1000000)</f>
        <v>53798</v>
      </c>
      <c r="W55" s="47">
        <f>[2]!s_stm07_bs($C$6,"W48226390",W6,1,1000000)</f>
        <v>53893</v>
      </c>
      <c r="X55" s="47">
        <f>[2]!s_stm07_bs($C$6,"W48226390",X6,1,1000000)</f>
        <v>53893</v>
      </c>
      <c r="Y55" s="47">
        <f>[2]!s_stm07_bs($C$6,"W48226390",Y6,1,1000000)</f>
        <v>74420</v>
      </c>
      <c r="Z55" s="47">
        <f>[2]!s_stm07_bs($C$6,"W48226390",Z6,1,1000000)</f>
        <v>74420</v>
      </c>
      <c r="AA55" s="47">
        <f>[2]!s_stm07_bs($C$6,"W48226390",AA6,1,1000000)</f>
        <v>74497</v>
      </c>
      <c r="AB55" s="47">
        <f>[2]!s_stm07_bs($C$6,"W48226390",AB6,1,1000000)</f>
        <v>74511</v>
      </c>
      <c r="AC55" s="47">
        <f>[2]!s_stm07_bs($C$6,"W48226390",AC6,1,1000000)</f>
        <v>98063</v>
      </c>
      <c r="AD55" s="47">
        <f>[2]!s_stm07_bs($C$6,"W48226390",AD6,1,1000000)</f>
        <v>98176</v>
      </c>
      <c r="AE55" s="47">
        <f>[2]!s_stm07_bs($C$6,"W48226390",AE6,1,1000000)</f>
        <v>98195</v>
      </c>
      <c r="AF55" s="47">
        <f>[2]!s_stm07_bs($C$6,"W48226390",AF6,1,1000000)</f>
        <v>98237</v>
      </c>
      <c r="AG55" s="47">
        <f>[2]!s_stm07_bs($C$6,"W48226390",AG6,1,1000000)</f>
        <v>123870</v>
      </c>
      <c r="AH55" s="47">
        <f>[2]!s_stm07_bs($C$6,"W48226390",AH6,1,1000000)</f>
        <v>123909</v>
      </c>
      <c r="AI55" s="47">
        <f>[2]!s_stm07_bs($C$6,"W48226390",AI6,1,1000000)</f>
        <v>124086</v>
      </c>
      <c r="AJ55" s="47">
        <f>[2]!s_stm07_bs($C$6,"W48226390",AJ6,1,1000000)</f>
        <v>124265</v>
      </c>
      <c r="AK55" s="47">
        <f>[2]!s_stm07_bs($C$6,"W48226390",AK6,1,1000000)</f>
        <v>150752</v>
      </c>
      <c r="AL55" s="47">
        <f>[2]!s_stm07_bs($C$6,"W48226390",AL6,1,1000000)</f>
        <v>151047</v>
      </c>
      <c r="AM55" s="47">
        <f>[2]!s_stm07_bs($C$6,"W48226390",AM6,1,1000000)</f>
        <v>151362</v>
      </c>
      <c r="AN55" s="47">
        <f>[2]!s_stm07_bs($C$6,"W48226390",AN6,1,1000000)</f>
        <v>151379</v>
      </c>
      <c r="AO55" s="47">
        <f>[2]!s_stm07_bs($C$6,"W48226390",AO6,1,1000000)</f>
        <v>178040</v>
      </c>
      <c r="AP55" s="47">
        <f>[2]!s_stm07_bs($C$6,"W48226390",AP6,1,1000000)</f>
        <v>178098</v>
      </c>
      <c r="AQ55" s="47">
        <f>[2]!s_stm07_bs($C$6,"W48226390",AQ6,1,1000000)</f>
        <v>178440</v>
      </c>
      <c r="AR55" s="47">
        <f>[2]!s_stm07_bs($C$6,"W48226390",AR6,1,1000000)</f>
        <v>178440</v>
      </c>
      <c r="AS55" s="47">
        <f>[2]!s_stm07_bs($C$6,"W48226390",AS6,1,1000000)</f>
        <v>205021</v>
      </c>
      <c r="AT55" s="47">
        <f>[2]!s_stm07_bs($C$6,"W48226390",AT6,1,1000000)</f>
        <v>205049</v>
      </c>
    </row>
    <row r="56" spans="3:47" x14ac:dyDescent="0.35">
      <c r="C56" s="17" t="s">
        <v>84</v>
      </c>
      <c r="E56" s="47">
        <f>[2]!s_stm07_bs($C$6,"W44631682",E6,1,1000000)</f>
        <v>12719</v>
      </c>
      <c r="F56" s="47">
        <f>[2]!s_stm07_bs($C$6,"W44631682",F6,1,1000000)</f>
        <v>12733</v>
      </c>
      <c r="G56" s="47">
        <f>[2]!s_stm07_bs($C$6,"W44631682",G6,1,1000000)</f>
        <v>12730</v>
      </c>
      <c r="H56" s="47">
        <f>[2]!s_stm07_bs($C$6,"W44631682",H6,1,1000000)</f>
        <v>12738</v>
      </c>
      <c r="I56" s="47">
        <f>[2]!s_stm07_bs($C$6,"W44631682",I6,1,1000000)</f>
        <v>40834</v>
      </c>
      <c r="J56" s="47">
        <f>[2]!s_stm07_bs($C$6,"W44631682",J6,1,1000000)</f>
        <v>40844</v>
      </c>
      <c r="K56" s="47">
        <f>[2]!s_stm07_bs($C$6,"W44631682",K6,1,1000000)</f>
        <v>40852</v>
      </c>
      <c r="L56" s="47">
        <f>[2]!s_stm07_bs($C$6,"W44631682",L6,1,1000000)</f>
        <v>40859</v>
      </c>
      <c r="M56" s="47">
        <f>[2]!s_stm07_bs($C$6,"W44631682",M6,1,1000000)</f>
        <v>69355</v>
      </c>
      <c r="N56" s="47">
        <f>[2]!s_stm07_bs($C$6,"W44631682",N6,1,1000000)</f>
        <v>69362</v>
      </c>
      <c r="O56" s="47">
        <f>[2]!s_stm07_bs($C$6,"W44631682",O6,1,1000000)</f>
        <v>69370</v>
      </c>
      <c r="P56" s="47">
        <f>[2]!s_stm07_bs($C$6,"W44631682",P6,1,1000000)</f>
        <v>69378</v>
      </c>
      <c r="Q56" s="47">
        <f>[2]!s_stm07_bs($C$6,"W44631682",Q6,1,1000000)</f>
        <v>84222</v>
      </c>
      <c r="R56" s="47">
        <f>[2]!s_stm07_bs($C$6,"W44631682",R6,1,1000000)</f>
        <v>84245</v>
      </c>
      <c r="S56" s="47">
        <f>[2]!s_stm07_bs($C$6,"W44631682",S6,1,1000000)</f>
        <v>84279</v>
      </c>
      <c r="T56" s="47">
        <f>[2]!s_stm07_bs($C$6,"W44631682",T6,1,1000000)</f>
        <v>84291</v>
      </c>
      <c r="U56" s="47">
        <f>[2]!s_stm07_bs($C$6,"W44631682",U6,1,1000000)</f>
        <v>93071</v>
      </c>
      <c r="V56" s="47">
        <f>[2]!s_stm07_bs($C$6,"W44631682",V6,1,1000000)</f>
        <v>93122</v>
      </c>
      <c r="W56" s="47">
        <f>[2]!s_stm07_bs($C$6,"W44631682",W6,1,1000000)</f>
        <v>93208</v>
      </c>
      <c r="X56" s="47">
        <f>[2]!s_stm07_bs($C$6,"W44631682",X6,1,1000000)</f>
        <v>93251</v>
      </c>
      <c r="Y56" s="47">
        <f>[2]!s_stm07_bs($C$6,"W44631682",Y6,1,1000000)</f>
        <v>104301</v>
      </c>
      <c r="Z56" s="47">
        <f>[2]!s_stm07_bs($C$6,"W44631682",Z6,1,1000000)</f>
        <v>104444</v>
      </c>
      <c r="AA56" s="47">
        <f>[2]!s_stm07_bs($C$6,"W44631682",AA6,1,1000000)</f>
        <v>104518</v>
      </c>
      <c r="AB56" s="47">
        <f>[2]!s_stm07_bs($C$6,"W44631682",AB6,1,1000000)</f>
        <v>104535</v>
      </c>
      <c r="AC56" s="47">
        <f>[2]!s_stm07_bs($C$6,"W44631682",AC6,1,1000000)</f>
        <v>189071</v>
      </c>
      <c r="AD56" s="47">
        <f>[2]!s_stm07_bs($C$6,"W44631682",AD6,1,1000000)</f>
        <v>189162</v>
      </c>
      <c r="AE56" s="47">
        <f>[2]!s_stm07_bs($C$6,"W44631682",AE6,1,1000000)</f>
        <v>189296</v>
      </c>
      <c r="AF56" s="47">
        <f>[2]!s_stm07_bs($C$6,"W44631682",AF6,1,1000000)</f>
        <v>189312</v>
      </c>
      <c r="AG56" s="47">
        <f>[2]!s_stm07_bs($C$6,"W44631682",AG6,1,1000000)</f>
        <v>202940</v>
      </c>
      <c r="AH56" s="47">
        <f>[2]!s_stm07_bs($C$6,"W44631682",AH6,1,1000000)</f>
        <v>203411</v>
      </c>
      <c r="AI56" s="47">
        <f>[2]!s_stm07_bs($C$6,"W44631682",AI6,1,1000000)</f>
        <v>203492</v>
      </c>
      <c r="AJ56" s="47">
        <f>[2]!s_stm07_bs($C$6,"W44631682",AJ6,1,1000000)</f>
        <v>203462</v>
      </c>
      <c r="AK56" s="47">
        <f>[2]!s_stm07_bs($C$6,"W44631682",AK6,1,1000000)</f>
        <v>221622</v>
      </c>
      <c r="AL56" s="47">
        <f>[2]!s_stm07_bs($C$6,"W44631682",AL6,1,1000000)</f>
        <v>222010</v>
      </c>
      <c r="AM56" s="47">
        <f>[2]!s_stm07_bs($C$6,"W44631682",AM6,1,1000000)</f>
        <v>222520</v>
      </c>
      <c r="AN56" s="47">
        <f>[2]!s_stm07_bs($C$6,"W44631682",AN6,1,1000000)</f>
        <v>222579</v>
      </c>
      <c r="AO56" s="47">
        <f>[2]!s_stm07_bs($C$6,"W44631682",AO6,1,1000000)</f>
        <v>246356</v>
      </c>
      <c r="AP56" s="47">
        <f>[2]!s_stm07_bs($C$6,"W44631682",AP6,1,1000000)</f>
        <v>246410</v>
      </c>
      <c r="AQ56" s="47">
        <f>[2]!s_stm07_bs($C$6,"W44631682",AQ6,1,1000000)</f>
        <v>246479</v>
      </c>
      <c r="AR56" s="47">
        <f>[2]!s_stm07_bs($C$6,"W44631682",AR6,1,1000000)</f>
        <v>246538</v>
      </c>
      <c r="AS56" s="47">
        <f>[2]!s_stm07_bs($C$6,"W44631682",AS6,1,1000000)</f>
        <v>251349</v>
      </c>
      <c r="AT56" s="47">
        <f>[2]!s_stm07_bs($C$6,"W44631682",AT6,1,1000000)</f>
        <v>251403</v>
      </c>
    </row>
    <row r="57" spans="3:47" x14ac:dyDescent="0.35">
      <c r="C57" s="17" t="s">
        <v>85</v>
      </c>
      <c r="E57" s="47">
        <f>[2]!s_stm07_bs($C$6,"W43705838",E6,1,1000000)</f>
        <v>5344</v>
      </c>
      <c r="F57" s="47">
        <f>[2]!s_stm07_bs($C$6,"W43705838",F6,1,1000000)</f>
        <v>24405</v>
      </c>
      <c r="G57" s="47">
        <f>[2]!s_stm07_bs($C$6,"W43705838",G6,1,1000000)</f>
        <v>41201</v>
      </c>
      <c r="H57" s="47">
        <f>[2]!s_stm07_bs($C$6,"W43705838",H6,1,1000000)</f>
        <v>63656</v>
      </c>
      <c r="I57" s="47">
        <f>[2]!s_stm07_bs($C$6,"W43705838",I6,1,1000000)</f>
        <v>45440</v>
      </c>
      <c r="J57" s="47">
        <f>[2]!s_stm07_bs($C$6,"W43705838",J6,1,1000000)</f>
        <v>78543</v>
      </c>
      <c r="K57" s="47">
        <f>[2]!s_stm07_bs($C$6,"W43705838",K6,1,1000000)</f>
        <v>65454</v>
      </c>
      <c r="L57" s="47">
        <f>[2]!s_stm07_bs($C$6,"W43705838",L6,1,1000000)</f>
        <v>93646</v>
      </c>
      <c r="M57" s="47">
        <f>[2]!s_stm07_bs($C$6,"W43705838",M6,1,1000000)</f>
        <v>72146</v>
      </c>
      <c r="N57" s="47">
        <f>[2]!s_stm07_bs($C$6,"W43705838",N6,1,1000000)</f>
        <v>107292</v>
      </c>
      <c r="O57" s="47">
        <f>[2]!s_stm07_bs($C$6,"W43705838",O6,1,1000000)</f>
        <v>83331</v>
      </c>
      <c r="P57" s="47">
        <f>[2]!s_stm07_bs($C$6,"W43705838",P6,1,1000000)</f>
        <v>116909</v>
      </c>
      <c r="Q57" s="47">
        <f>[2]!s_stm07_bs($C$6,"W43705838",Q6,1,1000000)</f>
        <v>117931</v>
      </c>
      <c r="R57" s="47">
        <f>[2]!s_stm07_bs($C$6,"W43705838",R6,1,1000000)</f>
        <v>159455</v>
      </c>
      <c r="S57" s="47">
        <f>[2]!s_stm07_bs($C$6,"W43705838",S6,1,1000000)</f>
        <v>145651</v>
      </c>
      <c r="T57" s="47">
        <f>[2]!s_stm07_bs($C$6,"W43705838",T6,1,1000000)</f>
        <v>188252</v>
      </c>
      <c r="U57" s="47">
        <f>[2]!s_stm07_bs($C$6,"W43705838",U6,1,1000000)</f>
        <v>201157</v>
      </c>
      <c r="V57" s="47">
        <f>[2]!s_stm07_bs($C$6,"W43705838",V6,1,1000000)</f>
        <v>254877</v>
      </c>
      <c r="W57" s="47">
        <f>[2]!s_stm07_bs($C$6,"W43705838",W6,1,1000000)</f>
        <v>246170</v>
      </c>
      <c r="X57" s="47">
        <f>[2]!s_stm07_bs($C$6,"W43705838",X6,1,1000000)</f>
        <v>300486</v>
      </c>
      <c r="Y57" s="47">
        <f>[2]!s_stm07_bs($C$6,"W43705838",Y6,1,1000000)</f>
        <v>313334</v>
      </c>
      <c r="Z57" s="47">
        <f>[2]!s_stm07_bs($C$6,"W43705838",Z6,1,1000000)</f>
        <v>374526</v>
      </c>
      <c r="AA57" s="47">
        <f>[2]!s_stm07_bs($C$6,"W43705838",AA6,1,1000000)</f>
        <v>365288</v>
      </c>
      <c r="AB57" s="47">
        <f>[2]!s_stm07_bs($C$6,"W43705838",AB6,1,1000000)</f>
        <v>427699</v>
      </c>
      <c r="AC57" s="47">
        <f>[2]!s_stm07_bs($C$6,"W43705838",AC6,1,1000000)</f>
        <v>372541</v>
      </c>
      <c r="AD57" s="47">
        <f>[2]!s_stm07_bs($C$6,"W43705838",AD6,1,1000000)</f>
        <v>441080</v>
      </c>
      <c r="AE57" s="47">
        <f>[2]!s_stm07_bs($C$6,"W43705838",AE6,1,1000000)</f>
        <v>426966</v>
      </c>
      <c r="AF57" s="47">
        <f>[2]!s_stm07_bs($C$6,"W43705838",AF6,1,1000000)</f>
        <v>494094</v>
      </c>
      <c r="AG57" s="47">
        <f>[2]!s_stm07_bs($C$6,"W43705838",AG6,1,1000000)</f>
        <v>511949</v>
      </c>
      <c r="AH57" s="47">
        <f>[2]!s_stm07_bs($C$6,"W43705838",AH6,1,1000000)</f>
        <v>584741</v>
      </c>
      <c r="AI57" s="47">
        <f>[2]!s_stm07_bs($C$6,"W43705838",AI6,1,1000000)</f>
        <v>567321</v>
      </c>
      <c r="AJ57" s="47">
        <f>[2]!s_stm07_bs($C$6,"W43705838",AJ6,1,1000000)</f>
        <v>639536</v>
      </c>
      <c r="AK57" s="47">
        <f>[2]!s_stm07_bs($C$6,"W43705838",AK6,1,1000000)</f>
        <v>650236</v>
      </c>
      <c r="AL57" s="47">
        <f>[2]!s_stm07_bs($C$6,"W43705838",AL6,1,1000000)</f>
        <v>723877</v>
      </c>
      <c r="AM57" s="47">
        <f>[2]!s_stm07_bs($C$6,"W43705838",AM6,1,1000000)</f>
        <v>706723</v>
      </c>
      <c r="AN57" s="47">
        <f>[2]!s_stm07_bs($C$6,"W43705838",AN6,1,1000000)</f>
        <v>779387</v>
      </c>
      <c r="AO57" s="47">
        <f>[2]!s_stm07_bs($C$6,"W43705838",AO6,1,1000000)</f>
        <v>781988</v>
      </c>
      <c r="AP57" s="47">
        <f>[2]!s_stm07_bs($C$6,"W43705838",AP6,1,1000000)</f>
        <v>856640</v>
      </c>
      <c r="AQ57" s="47">
        <f>[2]!s_stm07_bs($C$6,"W43705838",AQ6,1,1000000)</f>
        <v>848532</v>
      </c>
      <c r="AR57" s="47">
        <f>[2]!s_stm07_bs($C$6,"W43705838",AR6,1,1000000)</f>
        <v>921048</v>
      </c>
      <c r="AS57" s="47">
        <f>[2]!s_stm07_bs($C$6,"W43705838",AS6,1,1000000)</f>
        <v>940663</v>
      </c>
      <c r="AT57" s="47">
        <f>[2]!s_stm07_bs($C$6,"W43705838",AT6,1,1000000)</f>
        <v>1016221</v>
      </c>
    </row>
    <row r="58" spans="3:47" x14ac:dyDescent="0.35">
      <c r="C58" s="17" t="s">
        <v>86</v>
      </c>
      <c r="E58" s="48">
        <f>[2]!s_stm07_bs($C$6,"W43561211",E6,1,1000000)</f>
        <v>-351</v>
      </c>
      <c r="F58" s="48">
        <f>[2]!s_stm07_bs($C$6,"W43561211",F6,1,1000000)</f>
        <v>-504</v>
      </c>
      <c r="G58" s="48">
        <f>[2]!s_stm07_bs($C$6,"W43561211",G6,1,1000000)</f>
        <v>-546</v>
      </c>
      <c r="H58" s="48">
        <f>[2]!s_stm07_bs($C$6,"W43561211",H6,1,1000000)</f>
        <v>-687</v>
      </c>
      <c r="I58" s="48">
        <f>[2]!s_stm07_bs($C$6,"W43561211",I6,1,1000000)</f>
        <v>-1089</v>
      </c>
      <c r="J58" s="48">
        <f>[2]!s_stm07_bs($C$6,"W43561211",J6,1,1000000)</f>
        <v>-1435</v>
      </c>
      <c r="K58" s="48">
        <f>[2]!s_stm07_bs($C$6,"W43561211",K6,1,1000000)</f>
        <v>-3904</v>
      </c>
      <c r="L58" s="48">
        <f>[2]!s_stm07_bs($C$6,"W43561211",L6,1,1000000)</f>
        <v>-4891</v>
      </c>
      <c r="M58" s="48">
        <f>[2]!s_stm07_bs($C$6,"W43561211",M6,1,1000000)</f>
        <v>-9230</v>
      </c>
      <c r="N58" s="48">
        <f>[2]!s_stm07_bs($C$6,"W43561211",N6,1,1000000)</f>
        <v>-10127</v>
      </c>
      <c r="O58" s="48">
        <f>[2]!s_stm07_bs($C$6,"W43561211",O6,1,1000000)</f>
        <v>-3909</v>
      </c>
      <c r="P58" s="48">
        <f>[2]!s_stm07_bs($C$6,"W43561211",P6,1,1000000)</f>
        <v>-2097</v>
      </c>
      <c r="Q58" s="48">
        <f>[2]!s_stm07_bs($C$6,"W43561211",Q6,1,1000000)</f>
        <v>-1919</v>
      </c>
      <c r="R58" s="48">
        <f>[2]!s_stm07_bs($C$6,"W43561211",R6,1,1000000)</f>
        <v>-1782</v>
      </c>
      <c r="S58" s="48">
        <f>[2]!s_stm07_bs($C$6,"W43561211",S6,1,1000000)</f>
        <v>-3681</v>
      </c>
      <c r="T58" s="48">
        <f>[2]!s_stm07_bs($C$6,"W43561211",T6,1,1000000)</f>
        <v>-488</v>
      </c>
      <c r="U58" s="48">
        <f>[2]!s_stm07_bs($C$6,"W43561211",U6,1,1000000)</f>
        <v>581</v>
      </c>
      <c r="V58" s="48">
        <f>[2]!s_stm07_bs($C$6,"W43561211",V6,1,1000000)</f>
        <v>-1402</v>
      </c>
      <c r="W58" s="48">
        <f>[2]!s_stm07_bs($C$6,"W43561211",W6,1,1000000)</f>
        <v>-2217</v>
      </c>
      <c r="X58" s="48">
        <f>[2]!s_stm07_bs($C$6,"W43561211",X6,1,1000000)</f>
        <v>-9384</v>
      </c>
      <c r="Y58" s="48">
        <f>[2]!s_stm07_bs($C$6,"W43561211",Y6,1,1000000)</f>
        <v>-10792</v>
      </c>
      <c r="Z58" s="48">
        <f>[2]!s_stm07_bs($C$6,"W43561211",Z6,1,1000000)</f>
        <v>-8630</v>
      </c>
      <c r="AA58" s="48">
        <f>[2]!s_stm07_bs($C$6,"W43561211",AA6,1,1000000)</f>
        <v>-11481</v>
      </c>
      <c r="AB58" s="48">
        <f>[2]!s_stm07_bs($C$6,"W43561211",AB6,1,1000000)</f>
        <v>-11555</v>
      </c>
      <c r="AC58" s="48">
        <f>[2]!s_stm07_bs($C$6,"W43561211",AC6,1,1000000)</f>
        <v>-12822</v>
      </c>
      <c r="AD58" s="48">
        <f>[2]!s_stm07_bs($C$6,"W43561211",AD6,1,1000000)</f>
        <v>-15776</v>
      </c>
      <c r="AE58" s="48">
        <f>[2]!s_stm07_bs($C$6,"W43561211",AE6,1,1000000)</f>
        <v>-20667</v>
      </c>
      <c r="AF58" s="48">
        <f>[2]!s_stm07_bs($C$6,"W43561211",AF6,1,1000000)</f>
        <v>-21731</v>
      </c>
      <c r="AG58" s="48">
        <f>[2]!s_stm07_bs($C$6,"W43561211",AG6,1,1000000)</f>
        <v>-24038</v>
      </c>
      <c r="AH58" s="48">
        <f>[2]!s_stm07_bs($C$6,"W43561211",AH6,1,1000000)</f>
        <v>-21932</v>
      </c>
      <c r="AI58" s="48">
        <f>[2]!s_stm07_bs($C$6,"W43561211",AI6,1,1000000)</f>
        <v>-22059</v>
      </c>
      <c r="AJ58" s="48">
        <f>[2]!s_stm07_bs($C$6,"W43561211",AJ6,1,1000000)</f>
        <v>-25582</v>
      </c>
      <c r="AK58" s="48">
        <f>[2]!s_stm07_bs($C$6,"W43561211",AK6,1,1000000)</f>
        <v>0</v>
      </c>
      <c r="AL58" s="48">
        <f>[2]!s_stm07_bs($C$6,"W43561211",AL6,1,1000000)</f>
        <v>0</v>
      </c>
      <c r="AM58" s="48">
        <f>[2]!s_stm07_bs($C$6,"W43561211",AM6,1,1000000)</f>
        <v>0</v>
      </c>
      <c r="AN58" s="48">
        <f>[2]!s_stm07_bs($C$6,"W43561211",AN6,1,1000000)</f>
        <v>0</v>
      </c>
      <c r="AO58" s="48">
        <f>[2]!s_stm07_bs($C$6,"W43561211",AO6,1,1000000)</f>
        <v>0</v>
      </c>
      <c r="AP58" s="48">
        <f>[2]!s_stm07_bs($C$6,"W43561211",AP6,1,1000000)</f>
        <v>0</v>
      </c>
      <c r="AQ58" s="48">
        <f>[2]!s_stm07_bs($C$6,"W43561211",AQ6,1,1000000)</f>
        <v>0</v>
      </c>
      <c r="AR58" s="48">
        <f>[2]!s_stm07_bs($C$6,"W43561211",AR6,1,1000000)</f>
        <v>0</v>
      </c>
      <c r="AS58" s="48">
        <f>[2]!s_stm07_bs($C$6,"W43561211",AS6,1,1000000)</f>
        <v>0</v>
      </c>
      <c r="AT58" s="48">
        <f>[2]!s_stm07_bs($C$6,"W43561211",AT6,1,1000000)</f>
        <v>0</v>
      </c>
    </row>
    <row r="59" spans="3:47" x14ac:dyDescent="0.35">
      <c r="C59" s="49" t="s">
        <v>87</v>
      </c>
      <c r="E59" s="50">
        <f>[2]!s_stm07_bs($C$6,"W43740284",E6,1,1000000)</f>
        <v>466896</v>
      </c>
      <c r="F59" s="50">
        <f>[2]!s_stm07_bs($C$6,"W43740284",F6,1,1000000)</f>
        <v>485352</v>
      </c>
      <c r="G59" s="50">
        <f>[2]!s_stm07_bs($C$6,"W43740284",G6,1,1000000)</f>
        <v>498618</v>
      </c>
      <c r="H59" s="50">
        <f>[2]!s_stm07_bs($C$6,"W43740284",H6,1,1000000)</f>
        <v>520958</v>
      </c>
      <c r="I59" s="50">
        <f>[2]!s_stm07_bs($C$6,"W43740284",I6,1,1000000)</f>
        <v>538947</v>
      </c>
      <c r="J59" s="50">
        <f>[2]!s_stm07_bs($C$6,"W43740284",J6,1,1000000)</f>
        <v>566608</v>
      </c>
      <c r="K59" s="50">
        <f>[2]!s_stm07_bs($C$6,"W43740284",K6,1,1000000)</f>
        <v>550007</v>
      </c>
      <c r="L59" s="50">
        <f>[2]!s_stm07_bs($C$6,"W43740284",L6,1,1000000)</f>
        <v>581699</v>
      </c>
      <c r="M59" s="50">
        <f>[2]!s_stm07_bs($C$6,"W43740284",M6,1,1000000)</f>
        <v>603183</v>
      </c>
      <c r="N59" s="50">
        <f>[2]!s_stm07_bs($C$6,"W43740284",N6,1,1000000)</f>
        <v>636552</v>
      </c>
      <c r="O59" s="50">
        <f>[2]!s_stm07_bs($C$6,"W43740284",O6,1,1000000)</f>
        <v>616416</v>
      </c>
      <c r="P59" s="50">
        <f>[2]!s_stm07_bs($C$6,"W43740284",P6,1,1000000)</f>
        <v>646210</v>
      </c>
      <c r="Q59" s="50">
        <f>[2]!s_stm07_bs($C$6,"W43740284",Q6,1,1000000)</f>
        <v>673893</v>
      </c>
      <c r="R59" s="50">
        <f>[2]!s_stm07_bs($C$6,"W43740284",R6,1,1000000)</f>
        <v>719089</v>
      </c>
      <c r="S59" s="50">
        <f>[2]!s_stm07_bs($C$6,"W43740284",S6,1,1000000)</f>
        <v>704279</v>
      </c>
      <c r="T59" s="50">
        <f>[2]!s_stm07_bs($C$6,"W43740284",T6,1,1000000)</f>
        <v>753832</v>
      </c>
      <c r="U59" s="50">
        <f>[2]!s_stm07_bs($C$6,"W43740284",U6,1,1000000)</f>
        <v>820430</v>
      </c>
      <c r="V59" s="50">
        <f>[2]!s_stm07_bs($C$6,"W43740284",V6,1,1000000)</f>
        <v>870968</v>
      </c>
      <c r="W59" s="50">
        <f>[2]!s_stm07_bs($C$6,"W43740284",W6,1,1000000)</f>
        <v>858391</v>
      </c>
      <c r="X59" s="50">
        <f>[2]!s_stm07_bs($C$6,"W43740284",X6,1,1000000)</f>
        <v>900682</v>
      </c>
      <c r="Y59" s="50">
        <f>[2]!s_stm07_bs($C$6,"W43740284",Y6,1,1000000)</f>
        <v>956742</v>
      </c>
      <c r="Z59" s="50">
        <f>[2]!s_stm07_bs($C$6,"W43740284",Z6,1,1000000)</f>
        <v>1021815</v>
      </c>
      <c r="AA59" s="50">
        <f>[2]!s_stm07_bs($C$6,"W43740284",AA6,1,1000000)</f>
        <v>1016318</v>
      </c>
      <c r="AB59" s="50">
        <f>[2]!s_stm07_bs($C$6,"W43740284",AB6,1,1000000)</f>
        <v>1073350</v>
      </c>
      <c r="AC59" s="50">
        <f>[2]!s_stm07_bs($C$6,"W43740284",AC6,1,1000000)</f>
        <v>1124997</v>
      </c>
      <c r="AD59" s="50">
        <f>[2]!s_stm07_bs($C$6,"W43740284",AD6,1,1000000)</f>
        <v>1194175</v>
      </c>
      <c r="AE59" s="50">
        <f>[2]!s_stm07_bs($C$6,"W43740284",AE6,1,1000000)</f>
        <v>1171507</v>
      </c>
      <c r="AF59" s="50">
        <f>[2]!s_stm07_bs($C$6,"W43740284",AF6,1,1000000)</f>
        <v>1231739</v>
      </c>
      <c r="AG59" s="50">
        <f>[2]!s_stm07_bs($C$6,"W43740284",AG6,1,1000000)</f>
        <v>1274134</v>
      </c>
      <c r="AH59" s="50">
        <f>[2]!s_stm07_bs($C$6,"W43740284",AH6,1,1000000)</f>
        <v>1358485</v>
      </c>
      <c r="AI59" s="50">
        <f>[2]!s_stm07_bs($C$6,"W43740284",AI6,1,1000000)</f>
        <v>1354857</v>
      </c>
      <c r="AJ59" s="50">
        <f>[2]!s_stm07_bs($C$6,"W43740284",AJ6,1,1000000)</f>
        <v>1427581</v>
      </c>
      <c r="AK59" s="50">
        <f>[2]!s_stm07_bs($C$6,"W43740284",AK6,1,1000000)</f>
        <v>1530859</v>
      </c>
      <c r="AL59" s="50">
        <f>[2]!s_stm07_bs($C$6,"W43740284",AL6,1,1000000)</f>
        <v>1611328</v>
      </c>
      <c r="AM59" s="50">
        <f>[2]!s_stm07_bs($C$6,"W43740284",AM6,1,1000000)</f>
        <v>1603025</v>
      </c>
      <c r="AN59" s="50">
        <f>[2]!s_stm07_bs($C$6,"W43740284",AN6,1,1000000)</f>
        <v>1680028</v>
      </c>
      <c r="AO59" s="50">
        <f>[2]!s_stm07_bs($C$6,"W43740284",AO6,1,1000000)</f>
        <v>1789474</v>
      </c>
      <c r="AP59" s="50">
        <f>[2]!s_stm07_bs($C$6,"W43740284",AP6,1,1000000)</f>
        <v>1863180</v>
      </c>
      <c r="AQ59" s="50">
        <f>[2]!s_stm07_bs($C$6,"W43740284",AQ6,1,1000000)</f>
        <v>1856593</v>
      </c>
      <c r="AR59" s="50">
        <f>[2]!s_stm07_bs($C$6,"W43740284",AR6,1,1000000)</f>
        <v>1942287</v>
      </c>
      <c r="AS59" s="50">
        <f>[2]!s_stm07_bs($C$6,"W43740284",AS6,1,1000000)</f>
        <v>1969751</v>
      </c>
      <c r="AT59" s="50">
        <f>[2]!s_stm07_bs($C$6,"W43740284",AT6,1,1000000)</f>
        <v>2032748</v>
      </c>
    </row>
    <row r="60" spans="3:47" x14ac:dyDescent="0.35">
      <c r="C60" s="51" t="s">
        <v>88</v>
      </c>
      <c r="E60" s="52">
        <f>[2]!s_stm07_bs($C$6,"W44301909",E6,1,1000000)</f>
        <v>4537</v>
      </c>
      <c r="F60" s="52">
        <f>[2]!s_stm07_bs($C$6,"W44301909",F6,1,1000000)</f>
        <v>4601</v>
      </c>
      <c r="G60" s="52">
        <f>[2]!s_stm07_bs($C$6,"W44301909",G6,1,1000000)</f>
        <v>4699</v>
      </c>
      <c r="H60" s="52">
        <f>[2]!s_stm07_bs($C$6,"W44301909",H6,1,1000000)</f>
        <v>5079</v>
      </c>
      <c r="I60" s="52">
        <f>[2]!s_stm07_bs($C$6,"W44301909",I6,1,1000000)</f>
        <v>5305</v>
      </c>
      <c r="J60" s="52">
        <f>[2]!s_stm07_bs($C$6,"W44301909",J6,1,1000000)</f>
        <v>4323</v>
      </c>
      <c r="K60" s="52">
        <f>[2]!s_stm07_bs($C$6,"W44301909",K6,1,1000000)</f>
        <v>4335</v>
      </c>
      <c r="L60" s="52">
        <f>[2]!s_stm07_bs($C$6,"W44301909",L6,1,1000000)</f>
        <v>4120</v>
      </c>
      <c r="M60" s="52">
        <f>[2]!s_stm07_bs($C$6,"W44301909",M6,1,1000000)</f>
        <v>3955</v>
      </c>
      <c r="N60" s="52">
        <f>[2]!s_stm07_bs($C$6,"W44301909",N6,1,1000000)</f>
        <v>4033</v>
      </c>
      <c r="O60" s="52">
        <f>[2]!s_stm07_bs($C$6,"W44301909",O6,1,1000000)</f>
        <v>4504</v>
      </c>
      <c r="P60" s="52">
        <f>[2]!s_stm07_bs($C$6,"W44301909",P6,1,1000000)</f>
        <v>4697</v>
      </c>
      <c r="Q60" s="52">
        <f>[2]!s_stm07_bs($C$6,"W44301909",Q6,1,1000000)</f>
        <v>5041</v>
      </c>
      <c r="R60" s="52">
        <f>[2]!s_stm07_bs($C$6,"W44301909",R6,1,1000000)</f>
        <v>5112</v>
      </c>
      <c r="S60" s="52">
        <f>[2]!s_stm07_bs($C$6,"W44301909",S6,1,1000000)</f>
        <v>5321</v>
      </c>
      <c r="T60" s="52">
        <f>[2]!s_stm07_bs($C$6,"W44301909",T6,1,1000000)</f>
        <v>5673</v>
      </c>
      <c r="U60" s="52">
        <f>[2]!s_stm07_bs($C$6,"W44301909",U6,1,1000000)</f>
        <v>1227</v>
      </c>
      <c r="V60" s="52">
        <f>[2]!s_stm07_bs($C$6,"W44301909",V6,1,1000000)</f>
        <v>1257</v>
      </c>
      <c r="W60" s="52">
        <f>[2]!s_stm07_bs($C$6,"W44301909",W6,1,1000000)</f>
        <v>1224</v>
      </c>
      <c r="X60" s="52">
        <f>[2]!s_stm07_bs($C$6,"W44301909",X6,1,1000000)</f>
        <v>1184</v>
      </c>
      <c r="Y60" s="52">
        <f>[2]!s_stm07_bs($C$6,"W44301909",Y6,1,1000000)</f>
        <v>1081</v>
      </c>
      <c r="Z60" s="52">
        <f>[2]!s_stm07_bs($C$6,"W44301909",Z6,1,1000000)</f>
        <v>1128</v>
      </c>
      <c r="AA60" s="52">
        <f>[2]!s_stm07_bs($C$6,"W44301909",AA6,1,1000000)</f>
        <v>1130</v>
      </c>
      <c r="AB60" s="52">
        <f>[2]!s_stm07_bs($C$6,"W44301909",AB6,1,1000000)</f>
        <v>1924</v>
      </c>
      <c r="AC60" s="52">
        <f>[2]!s_stm07_bs($C$6,"W44301909",AC6,1,1000000)</f>
        <v>3462</v>
      </c>
      <c r="AD60" s="52">
        <f>[2]!s_stm07_bs($C$6,"W44301909",AD6,1,1000000)</f>
        <v>3640</v>
      </c>
      <c r="AE60" s="52">
        <f>[2]!s_stm07_bs($C$6,"W44301909",AE6,1,1000000)</f>
        <v>3586</v>
      </c>
      <c r="AF60" s="52">
        <f>[2]!s_stm07_bs($C$6,"W44301909",AF6,1,1000000)</f>
        <v>3650</v>
      </c>
      <c r="AG60" s="52">
        <f>[2]!s_stm07_bs($C$6,"W44301909",AG6,1,1000000)</f>
        <v>4329</v>
      </c>
      <c r="AH60" s="52">
        <f>[2]!s_stm07_bs($C$6,"W44301909",AH6,1,1000000)</f>
        <v>4435</v>
      </c>
      <c r="AI60" s="52">
        <f>[2]!s_stm07_bs($C$6,"W44301909",AI6,1,1000000)</f>
        <v>4646</v>
      </c>
      <c r="AJ60" s="52">
        <f>[2]!s_stm07_bs($C$6,"W44301909",AJ6,1,1000000)</f>
        <v>4794</v>
      </c>
      <c r="AK60" s="52">
        <f>[2]!s_stm07_bs($C$6,"W44301909",AK6,1,1000000)</f>
        <v>6445</v>
      </c>
      <c r="AL60" s="52">
        <f>[2]!s_stm07_bs($C$6,"W44301909",AL6,1,1000000)</f>
        <v>9932</v>
      </c>
      <c r="AM60" s="52">
        <f>[2]!s_stm07_bs($C$6,"W44301909",AM6,1,1000000)</f>
        <v>10612</v>
      </c>
      <c r="AN60" s="52">
        <f>[2]!s_stm07_bs($C$6,"W44301909",AN6,1,1000000)</f>
        <v>10624</v>
      </c>
      <c r="AO60" s="52">
        <f>[2]!s_stm07_bs($C$6,"W44301909",AO6,1,1000000)</f>
        <v>11045</v>
      </c>
      <c r="AP60" s="52">
        <f>[2]!s_stm07_bs($C$6,"W44301909",AP6,1,1000000)</f>
        <v>10899</v>
      </c>
      <c r="AQ60" s="52">
        <f>[2]!s_stm07_bs($C$6,"W44301909",AQ6,1,1000000)</f>
        <v>11184</v>
      </c>
      <c r="AR60" s="52">
        <f>[2]!s_stm07_bs($C$6,"W44301909",AR6,1,1000000)</f>
        <v>11708</v>
      </c>
      <c r="AS60" s="52">
        <f>[2]!s_stm07_bs($C$6,"W44301909",AS6,1,1000000)</f>
        <v>11412</v>
      </c>
      <c r="AT60" s="52">
        <f>[2]!s_stm07_bs($C$6,"W44301909",AT6,1,1000000)</f>
        <v>12223</v>
      </c>
    </row>
    <row r="61" spans="3:47" ht="13.15" x14ac:dyDescent="0.4">
      <c r="C61" s="53" t="s">
        <v>89</v>
      </c>
      <c r="E61" s="54">
        <f>E59+E60</f>
        <v>471433</v>
      </c>
      <c r="F61" s="54">
        <f t="shared" ref="F61:AT61" si="6">F59+F60</f>
        <v>489953</v>
      </c>
      <c r="G61" s="54">
        <f t="shared" si="6"/>
        <v>503317</v>
      </c>
      <c r="H61" s="54">
        <f t="shared" si="6"/>
        <v>526037</v>
      </c>
      <c r="I61" s="54">
        <f t="shared" si="6"/>
        <v>544252</v>
      </c>
      <c r="J61" s="54">
        <f t="shared" si="6"/>
        <v>570931</v>
      </c>
      <c r="K61" s="54">
        <f t="shared" si="6"/>
        <v>554342</v>
      </c>
      <c r="L61" s="54">
        <f t="shared" si="6"/>
        <v>585819</v>
      </c>
      <c r="M61" s="54">
        <f>M59+M60</f>
        <v>607138</v>
      </c>
      <c r="N61" s="54">
        <f t="shared" si="6"/>
        <v>640585</v>
      </c>
      <c r="O61" s="54">
        <f t="shared" si="6"/>
        <v>620920</v>
      </c>
      <c r="P61" s="54">
        <f t="shared" si="6"/>
        <v>650907</v>
      </c>
      <c r="Q61" s="54">
        <f t="shared" si="6"/>
        <v>678934</v>
      </c>
      <c r="R61" s="54">
        <f t="shared" si="6"/>
        <v>724201</v>
      </c>
      <c r="S61" s="54">
        <f t="shared" si="6"/>
        <v>709600</v>
      </c>
      <c r="T61" s="54">
        <f t="shared" si="6"/>
        <v>759505</v>
      </c>
      <c r="U61" s="54">
        <f t="shared" si="6"/>
        <v>821657</v>
      </c>
      <c r="V61" s="54">
        <f t="shared" si="6"/>
        <v>872225</v>
      </c>
      <c r="W61" s="54">
        <f t="shared" si="6"/>
        <v>859615</v>
      </c>
      <c r="X61" s="54">
        <f t="shared" si="6"/>
        <v>901866</v>
      </c>
      <c r="Y61" s="54">
        <f t="shared" si="6"/>
        <v>957823</v>
      </c>
      <c r="Z61" s="54">
        <f t="shared" si="6"/>
        <v>1022943</v>
      </c>
      <c r="AA61" s="54">
        <f t="shared" si="6"/>
        <v>1017448</v>
      </c>
      <c r="AB61" s="54">
        <f t="shared" si="6"/>
        <v>1075274</v>
      </c>
      <c r="AC61" s="54">
        <f t="shared" si="6"/>
        <v>1128459</v>
      </c>
      <c r="AD61" s="54">
        <f t="shared" si="6"/>
        <v>1197815</v>
      </c>
      <c r="AE61" s="54">
        <f t="shared" si="6"/>
        <v>1175093</v>
      </c>
      <c r="AF61" s="54">
        <f t="shared" si="6"/>
        <v>1235389</v>
      </c>
      <c r="AG61" s="54">
        <f t="shared" si="6"/>
        <v>1278463</v>
      </c>
      <c r="AH61" s="54">
        <f>AH59+AH60</f>
        <v>1362920</v>
      </c>
      <c r="AI61" s="54">
        <f t="shared" si="6"/>
        <v>1359503</v>
      </c>
      <c r="AJ61" s="54">
        <f t="shared" si="6"/>
        <v>1432375</v>
      </c>
      <c r="AK61" s="54">
        <f t="shared" si="6"/>
        <v>1537304</v>
      </c>
      <c r="AL61" s="54">
        <f t="shared" si="6"/>
        <v>1621260</v>
      </c>
      <c r="AM61" s="54">
        <f t="shared" si="6"/>
        <v>1613637</v>
      </c>
      <c r="AN61" s="54">
        <f t="shared" si="6"/>
        <v>1690652</v>
      </c>
      <c r="AO61" s="54">
        <f t="shared" si="6"/>
        <v>1800519</v>
      </c>
      <c r="AP61" s="54">
        <f t="shared" si="6"/>
        <v>1874079</v>
      </c>
      <c r="AQ61" s="54">
        <f t="shared" si="6"/>
        <v>1867777</v>
      </c>
      <c r="AR61" s="54">
        <f t="shared" si="6"/>
        <v>1953995</v>
      </c>
      <c r="AS61" s="54">
        <f t="shared" si="6"/>
        <v>1981163</v>
      </c>
      <c r="AT61" s="54">
        <f t="shared" si="6"/>
        <v>2044971</v>
      </c>
    </row>
    <row r="62" spans="3:47" ht="13.5" thickBot="1" x14ac:dyDescent="0.45">
      <c r="C62" s="55" t="s">
        <v>90</v>
      </c>
      <c r="E62" s="56">
        <f>E61+E48</f>
        <v>7509118</v>
      </c>
      <c r="F62" s="56">
        <f t="shared" ref="F62:AT62" si="7">F61+F48</f>
        <v>7880806</v>
      </c>
      <c r="G62" s="56">
        <f t="shared" si="7"/>
        <v>8303988</v>
      </c>
      <c r="H62" s="56">
        <f t="shared" si="7"/>
        <v>8597756</v>
      </c>
      <c r="I62" s="56">
        <f t="shared" si="7"/>
        <v>8684288</v>
      </c>
      <c r="J62" s="56">
        <f t="shared" si="7"/>
        <v>9141387</v>
      </c>
      <c r="K62" s="56">
        <f t="shared" si="7"/>
        <v>9399960</v>
      </c>
      <c r="L62" s="56">
        <f t="shared" si="7"/>
        <v>9384347</v>
      </c>
      <c r="M62" s="56">
        <f>M61+M48</f>
        <v>9757654</v>
      </c>
      <c r="N62" s="56">
        <f t="shared" si="7"/>
        <v>10978966</v>
      </c>
      <c r="O62" s="56">
        <f t="shared" si="7"/>
        <v>11435086</v>
      </c>
      <c r="P62" s="56">
        <f t="shared" si="7"/>
        <v>11670134</v>
      </c>
      <c r="Q62" s="56">
        <f t="shared" si="7"/>
        <v>11785053</v>
      </c>
      <c r="R62" s="56">
        <f t="shared" si="7"/>
        <v>12553385</v>
      </c>
      <c r="S62" s="56">
        <f t="shared" si="7"/>
        <v>12960381</v>
      </c>
      <c r="T62" s="56">
        <f t="shared" si="7"/>
        <v>13417887</v>
      </c>
      <c r="U62" s="56">
        <f t="shared" si="7"/>
        <v>13458622</v>
      </c>
      <c r="V62" s="56">
        <f t="shared" si="7"/>
        <v>14389996</v>
      </c>
      <c r="W62" s="56">
        <f t="shared" si="7"/>
        <v>14896048</v>
      </c>
      <c r="X62" s="56">
        <f t="shared" si="7"/>
        <v>15127002</v>
      </c>
      <c r="Y62" s="56">
        <f t="shared" si="7"/>
        <v>15476868</v>
      </c>
      <c r="Z62" s="56">
        <f t="shared" si="7"/>
        <v>16431196</v>
      </c>
      <c r="AA62" s="56">
        <f t="shared" si="7"/>
        <v>17073050</v>
      </c>
      <c r="AB62" s="56">
        <f t="shared" si="7"/>
        <v>17371150</v>
      </c>
      <c r="AC62" s="56">
        <f t="shared" si="7"/>
        <v>17542217</v>
      </c>
      <c r="AD62" s="56">
        <f t="shared" si="7"/>
        <v>18357278</v>
      </c>
      <c r="AE62" s="56">
        <f t="shared" si="7"/>
        <v>18723353</v>
      </c>
      <c r="AF62" s="56">
        <f t="shared" si="7"/>
        <v>18742548</v>
      </c>
      <c r="AG62" s="56">
        <f t="shared" si="7"/>
        <v>18917752</v>
      </c>
      <c r="AH62" s="56">
        <f t="shared" si="7"/>
        <v>19734683</v>
      </c>
      <c r="AI62" s="56">
        <f t="shared" si="7"/>
        <v>20303677</v>
      </c>
      <c r="AJ62" s="56">
        <f t="shared" si="7"/>
        <v>20150956</v>
      </c>
      <c r="AK62" s="56">
        <f t="shared" si="7"/>
        <v>20609953</v>
      </c>
      <c r="AL62" s="56">
        <f t="shared" si="7"/>
        <v>21396633</v>
      </c>
      <c r="AM62" s="56">
        <f t="shared" si="7"/>
        <v>22417295</v>
      </c>
      <c r="AN62" s="56">
        <f t="shared" si="7"/>
        <v>22104917</v>
      </c>
      <c r="AO62" s="56">
        <f t="shared" si="7"/>
        <v>22209780</v>
      </c>
      <c r="AP62" s="56">
        <f t="shared" si="7"/>
        <v>22883325</v>
      </c>
      <c r="AQ62" s="56">
        <f t="shared" si="7"/>
        <v>23524327</v>
      </c>
      <c r="AR62" s="56">
        <f t="shared" si="7"/>
        <v>23646472</v>
      </c>
      <c r="AS62" s="56">
        <f t="shared" si="7"/>
        <v>24137265</v>
      </c>
      <c r="AT62" s="56">
        <f t="shared" si="7"/>
        <v>24904936</v>
      </c>
    </row>
    <row r="63" spans="3:47" s="58" customFormat="1" ht="13.15" x14ac:dyDescent="0.35">
      <c r="C63" s="57" t="s">
        <v>91</v>
      </c>
      <c r="E63" s="59">
        <f t="shared" ref="E63:AT63" si="8">E30-E62</f>
        <v>0</v>
      </c>
      <c r="F63" s="59">
        <f t="shared" si="8"/>
        <v>0</v>
      </c>
      <c r="G63" s="59">
        <f t="shared" si="8"/>
        <v>0</v>
      </c>
      <c r="H63" s="59">
        <f t="shared" si="8"/>
        <v>0</v>
      </c>
      <c r="I63" s="59">
        <f t="shared" si="8"/>
        <v>0</v>
      </c>
      <c r="J63" s="59">
        <f t="shared" si="8"/>
        <v>0</v>
      </c>
      <c r="K63" s="59">
        <f t="shared" si="8"/>
        <v>0</v>
      </c>
      <c r="L63" s="59">
        <f t="shared" si="8"/>
        <v>0</v>
      </c>
      <c r="M63" s="59">
        <f t="shared" si="8"/>
        <v>0</v>
      </c>
      <c r="N63" s="59">
        <f t="shared" si="8"/>
        <v>0</v>
      </c>
      <c r="O63" s="59">
        <f t="shared" si="8"/>
        <v>0</v>
      </c>
      <c r="P63" s="59">
        <f t="shared" si="8"/>
        <v>0</v>
      </c>
      <c r="Q63" s="59">
        <f t="shared" si="8"/>
        <v>0</v>
      </c>
      <c r="R63" s="59">
        <f t="shared" si="8"/>
        <v>0</v>
      </c>
      <c r="S63" s="59">
        <f t="shared" si="8"/>
        <v>0</v>
      </c>
      <c r="T63" s="59">
        <f t="shared" si="8"/>
        <v>0</v>
      </c>
      <c r="U63" s="59">
        <f t="shared" si="8"/>
        <v>0</v>
      </c>
      <c r="V63" s="59">
        <f t="shared" si="8"/>
        <v>0</v>
      </c>
      <c r="W63" s="59">
        <f t="shared" si="8"/>
        <v>0</v>
      </c>
      <c r="X63" s="59">
        <f t="shared" si="8"/>
        <v>0</v>
      </c>
      <c r="Y63" s="59">
        <f t="shared" si="8"/>
        <v>0</v>
      </c>
      <c r="Z63" s="59">
        <f t="shared" si="8"/>
        <v>0</v>
      </c>
      <c r="AA63" s="59">
        <f t="shared" si="8"/>
        <v>0</v>
      </c>
      <c r="AB63" s="59">
        <f t="shared" si="8"/>
        <v>0</v>
      </c>
      <c r="AC63" s="59">
        <f t="shared" si="8"/>
        <v>0</v>
      </c>
      <c r="AD63" s="59">
        <f t="shared" si="8"/>
        <v>0</v>
      </c>
      <c r="AE63" s="59">
        <f t="shared" si="8"/>
        <v>0</v>
      </c>
      <c r="AF63" s="59">
        <f t="shared" si="8"/>
        <v>0</v>
      </c>
      <c r="AG63" s="59">
        <f t="shared" si="8"/>
        <v>0</v>
      </c>
      <c r="AH63" s="59">
        <f t="shared" si="8"/>
        <v>0</v>
      </c>
      <c r="AI63" s="59">
        <f t="shared" si="8"/>
        <v>0</v>
      </c>
      <c r="AJ63" s="59">
        <f t="shared" si="8"/>
        <v>0</v>
      </c>
      <c r="AK63" s="59">
        <f t="shared" si="8"/>
        <v>0</v>
      </c>
      <c r="AL63" s="59">
        <f t="shared" si="8"/>
        <v>0</v>
      </c>
      <c r="AM63" s="59">
        <f t="shared" si="8"/>
        <v>0</v>
      </c>
      <c r="AN63" s="59">
        <f t="shared" si="8"/>
        <v>0</v>
      </c>
      <c r="AO63" s="59">
        <f t="shared" si="8"/>
        <v>0</v>
      </c>
      <c r="AP63" s="59">
        <f t="shared" si="8"/>
        <v>0</v>
      </c>
      <c r="AQ63" s="59">
        <f t="shared" si="8"/>
        <v>0</v>
      </c>
      <c r="AR63" s="59">
        <f t="shared" si="8"/>
        <v>0</v>
      </c>
      <c r="AS63" s="59">
        <f t="shared" si="8"/>
        <v>0</v>
      </c>
      <c r="AT63" s="59">
        <f t="shared" si="8"/>
        <v>0</v>
      </c>
    </row>
    <row r="66" spans="2:46" ht="13.5" thickBot="1" x14ac:dyDescent="0.4">
      <c r="B66" s="60" t="s">
        <v>92</v>
      </c>
    </row>
    <row r="67" spans="2:46" ht="13.15" x14ac:dyDescent="0.4">
      <c r="C67" s="61" t="s">
        <v>93</v>
      </c>
      <c r="E67" s="62">
        <f>E68+E71</f>
        <v>181457</v>
      </c>
      <c r="F67" s="62">
        <f t="shared" ref="F67:AS67" si="9">F68+F71</f>
        <v>54394</v>
      </c>
      <c r="G67" s="62">
        <f t="shared" si="9"/>
        <v>116315</v>
      </c>
      <c r="H67" s="62">
        <f t="shared" si="9"/>
        <v>182084</v>
      </c>
      <c r="I67" s="62">
        <f t="shared" si="9"/>
        <v>253880</v>
      </c>
      <c r="J67" s="62">
        <f t="shared" si="9"/>
        <v>75575</v>
      </c>
      <c r="K67" s="62">
        <f t="shared" si="9"/>
        <v>154647</v>
      </c>
      <c r="L67" s="62">
        <f t="shared" si="9"/>
        <v>231302</v>
      </c>
      <c r="M67" s="62">
        <f t="shared" si="9"/>
        <v>309758</v>
      </c>
      <c r="N67" s="62">
        <f t="shared" si="9"/>
        <v>72887</v>
      </c>
      <c r="O67" s="62">
        <f t="shared" si="9"/>
        <v>148352</v>
      </c>
      <c r="P67" s="62">
        <f t="shared" si="9"/>
        <v>226634</v>
      </c>
      <c r="Q67" s="62">
        <f t="shared" si="9"/>
        <v>309454</v>
      </c>
      <c r="R67" s="62">
        <f t="shared" si="9"/>
        <v>87338</v>
      </c>
      <c r="S67" s="62">
        <f t="shared" si="9"/>
        <v>181708</v>
      </c>
      <c r="T67" s="62">
        <f t="shared" si="9"/>
        <v>278690</v>
      </c>
      <c r="U67" s="62">
        <f t="shared" si="9"/>
        <v>380821</v>
      </c>
      <c r="V67" s="62">
        <f t="shared" si="9"/>
        <v>113817</v>
      </c>
      <c r="W67" s="62">
        <f t="shared" si="9"/>
        <v>232688</v>
      </c>
      <c r="X67" s="62">
        <f t="shared" si="9"/>
        <v>351729</v>
      </c>
      <c r="Y67" s="62">
        <f t="shared" si="9"/>
        <v>475214</v>
      </c>
      <c r="Z67" s="62">
        <f t="shared" si="9"/>
        <v>131017</v>
      </c>
      <c r="AA67" s="62">
        <f t="shared" si="9"/>
        <v>265486</v>
      </c>
      <c r="AB67" s="62">
        <f t="shared" si="9"/>
        <v>401473</v>
      </c>
      <c r="AC67" s="62">
        <f t="shared" si="9"/>
        <v>536945</v>
      </c>
      <c r="AD67" s="62">
        <f t="shared" si="9"/>
        <v>147760</v>
      </c>
      <c r="AE67" s="62">
        <f t="shared" si="9"/>
        <v>298607</v>
      </c>
      <c r="AF67" s="62">
        <f t="shared" si="9"/>
        <v>441917</v>
      </c>
      <c r="AG67" s="62">
        <f t="shared" si="9"/>
        <v>589637</v>
      </c>
      <c r="AH67" s="62">
        <f t="shared" si="9"/>
        <v>162633</v>
      </c>
      <c r="AI67" s="62">
        <f t="shared" si="9"/>
        <v>328425</v>
      </c>
      <c r="AJ67" s="62">
        <f t="shared" si="9"/>
        <v>488589</v>
      </c>
      <c r="AK67" s="62">
        <f t="shared" si="9"/>
        <v>658892</v>
      </c>
      <c r="AL67" s="62">
        <f t="shared" si="9"/>
        <v>181164</v>
      </c>
      <c r="AM67" s="62">
        <f t="shared" si="9"/>
        <v>356242</v>
      </c>
      <c r="AN67" s="62">
        <f t="shared" si="9"/>
        <v>524628</v>
      </c>
      <c r="AO67" s="62">
        <f t="shared" si="9"/>
        <v>697647</v>
      </c>
      <c r="AP67" s="62">
        <f t="shared" si="9"/>
        <v>193889</v>
      </c>
      <c r="AQ67" s="62">
        <f t="shared" si="9"/>
        <v>357670</v>
      </c>
      <c r="AR67" s="62">
        <f t="shared" si="9"/>
        <v>517774</v>
      </c>
      <c r="AS67" s="62">
        <f t="shared" si="9"/>
        <v>675891</v>
      </c>
      <c r="AT67" s="62">
        <f>AT68+AT71</f>
        <v>189525</v>
      </c>
    </row>
    <row r="68" spans="2:46" x14ac:dyDescent="0.35">
      <c r="C68" s="17" t="s">
        <v>94</v>
      </c>
      <c r="E68" s="24">
        <f t="shared" ref="E68:AS68" si="10">E69+E70</f>
        <v>163118</v>
      </c>
      <c r="F68" s="24">
        <f t="shared" si="10"/>
        <v>48102</v>
      </c>
      <c r="G68" s="24">
        <f t="shared" si="10"/>
        <v>102209</v>
      </c>
      <c r="H68" s="24">
        <f t="shared" si="10"/>
        <v>159705</v>
      </c>
      <c r="I68" s="24">
        <f t="shared" si="10"/>
        <v>224465</v>
      </c>
      <c r="J68" s="24">
        <f t="shared" si="10"/>
        <v>66287</v>
      </c>
      <c r="K68" s="24">
        <f t="shared" si="10"/>
        <v>131785</v>
      </c>
      <c r="L68" s="24">
        <f t="shared" si="10"/>
        <v>196567</v>
      </c>
      <c r="M68" s="24">
        <f t="shared" si="10"/>
        <v>263037</v>
      </c>
      <c r="N68" s="24">
        <f t="shared" si="10"/>
        <v>57748</v>
      </c>
      <c r="O68" s="24">
        <f t="shared" si="10"/>
        <v>116038</v>
      </c>
      <c r="P68" s="24">
        <f t="shared" si="10"/>
        <v>178249</v>
      </c>
      <c r="Q68" s="24">
        <f t="shared" si="10"/>
        <v>245821</v>
      </c>
      <c r="R68" s="24">
        <f t="shared" si="10"/>
        <v>68401</v>
      </c>
      <c r="S68" s="24">
        <f t="shared" si="10"/>
        <v>143312</v>
      </c>
      <c r="T68" s="24">
        <f t="shared" si="10"/>
        <v>221663</v>
      </c>
      <c r="U68" s="24">
        <f t="shared" si="10"/>
        <v>303749</v>
      </c>
      <c r="V68" s="24">
        <f t="shared" si="10"/>
        <v>85376</v>
      </c>
      <c r="W68" s="24">
        <f t="shared" si="10"/>
        <v>174504</v>
      </c>
      <c r="X68" s="24">
        <f t="shared" si="10"/>
        <v>267087</v>
      </c>
      <c r="Y68" s="24">
        <f t="shared" si="10"/>
        <v>362764</v>
      </c>
      <c r="Z68" s="24">
        <f t="shared" si="10"/>
        <v>98816</v>
      </c>
      <c r="AA68" s="24">
        <f t="shared" si="10"/>
        <v>204058</v>
      </c>
      <c r="AB68" s="24">
        <f t="shared" si="10"/>
        <v>311369</v>
      </c>
      <c r="AC68" s="24">
        <f t="shared" si="10"/>
        <v>417828</v>
      </c>
      <c r="AD68" s="24">
        <f t="shared" si="10"/>
        <v>106717</v>
      </c>
      <c r="AE68" s="24">
        <f t="shared" si="10"/>
        <v>215889</v>
      </c>
      <c r="AF68" s="24">
        <f t="shared" si="10"/>
        <v>327636</v>
      </c>
      <c r="AG68" s="24">
        <f t="shared" si="10"/>
        <v>443335</v>
      </c>
      <c r="AH68" s="24">
        <f t="shared" si="10"/>
        <v>115825</v>
      </c>
      <c r="AI68" s="24">
        <f t="shared" si="10"/>
        <v>237607</v>
      </c>
      <c r="AJ68" s="24">
        <f t="shared" si="10"/>
        <v>362934</v>
      </c>
      <c r="AK68" s="24">
        <f t="shared" si="10"/>
        <v>493522</v>
      </c>
      <c r="AL68" s="24">
        <f t="shared" si="10"/>
        <v>125283</v>
      </c>
      <c r="AM68" s="24">
        <f t="shared" si="10"/>
        <v>252087</v>
      </c>
      <c r="AN68" s="24">
        <f t="shared" si="10"/>
        <v>379945</v>
      </c>
      <c r="AO68" s="24">
        <f t="shared" si="10"/>
        <v>507867</v>
      </c>
      <c r="AP68" s="24">
        <f t="shared" si="10"/>
        <v>118810</v>
      </c>
      <c r="AQ68" s="24">
        <f t="shared" si="10"/>
        <v>234280</v>
      </c>
      <c r="AR68" s="24">
        <f t="shared" si="10"/>
        <v>351358</v>
      </c>
      <c r="AS68" s="24">
        <f t="shared" si="10"/>
        <v>471846</v>
      </c>
      <c r="AT68" s="24">
        <f>AT69+AT70</f>
        <v>121970</v>
      </c>
    </row>
    <row r="69" spans="2:46" x14ac:dyDescent="0.35">
      <c r="C69" s="17" t="s">
        <v>95</v>
      </c>
      <c r="E69" s="63">
        <f>[2]!s_stm07_is($C$6,"W66665549",E6,1,1000000)</f>
        <v>272941</v>
      </c>
      <c r="F69" s="63">
        <f>[2]!s_stm07_is($C$6,"W66665549",F6,1,1000000)</f>
        <v>78476</v>
      </c>
      <c r="G69" s="63">
        <f>[2]!s_stm07_is($C$6,"W66665549",G6,1,1000000)</f>
        <v>163798</v>
      </c>
      <c r="H69" s="63">
        <f>[2]!s_stm07_is($C$6,"W66665549",H6,1,1000000)</f>
        <v>256255</v>
      </c>
      <c r="I69" s="63">
        <f>[2]!s_stm07_is($C$6,"W66665549",I6,1,1000000)</f>
        <v>357287</v>
      </c>
      <c r="J69" s="63">
        <f>[2]!s_stm07_is($C$6,"W66665549",J6,1,1000000)</f>
        <v>105609</v>
      </c>
      <c r="K69" s="63">
        <f>[2]!s_stm07_is($C$6,"W66665549",K6,1,1000000)</f>
        <v>215011</v>
      </c>
      <c r="L69" s="63">
        <f>[2]!s_stm07_is($C$6,"W66665549",L6,1,1000000)</f>
        <v>327426</v>
      </c>
      <c r="M69" s="63">
        <f>[2]!s_stm07_is($C$6,"W66665549",M6,1,1000000)</f>
        <v>440574</v>
      </c>
      <c r="N69" s="63">
        <f>[2]!s_stm07_is($C$6,"W66665549",N6,1,1000000)</f>
        <v>100066</v>
      </c>
      <c r="O69" s="63">
        <f>[2]!s_stm07_is($C$6,"W66665549",O6,1,1000000)</f>
        <v>199277</v>
      </c>
      <c r="P69" s="63">
        <f>[2]!s_stm07_is($C$6,"W66665549",P6,1,1000000)</f>
        <v>300819</v>
      </c>
      <c r="Q69" s="63">
        <f>[2]!s_stm07_is($C$6,"W66665549",Q6,1,1000000)</f>
        <v>405878</v>
      </c>
      <c r="R69" s="63">
        <f>[2]!s_stm07_is($C$6,"W66665549",R6,1,1000000)</f>
        <v>106036</v>
      </c>
      <c r="S69" s="63">
        <f>[2]!s_stm07_is($C$6,"W66665549",S6,1,1000000)</f>
        <v>219865</v>
      </c>
      <c r="T69" s="63">
        <f>[2]!s_stm07_is($C$6,"W66665549",T6,1,1000000)</f>
        <v>338818</v>
      </c>
      <c r="U69" s="63">
        <f>[2]!s_stm07_is($C$6,"W66665549",U6,1,1000000)</f>
        <v>462762</v>
      </c>
      <c r="V69" s="63">
        <f>[2]!s_stm07_is($C$6,"W66665549",V6,1,1000000)</f>
        <v>130893</v>
      </c>
      <c r="W69" s="63">
        <f>[2]!s_stm07_is($C$6,"W66665549",W6,1,1000000)</f>
        <v>272719</v>
      </c>
      <c r="X69" s="63">
        <f>[2]!s_stm07_is($C$6,"W66665549",X6,1,1000000)</f>
        <v>426187</v>
      </c>
      <c r="Y69" s="63">
        <f>[2]!s_stm07_is($C$6,"W66665549",Y6,1,1000000)</f>
        <v>589580</v>
      </c>
      <c r="Z69" s="63">
        <f>[2]!s_stm07_is($C$6,"W66665549",Z6,1,1000000)</f>
        <v>174348</v>
      </c>
      <c r="AA69" s="63">
        <f>[2]!s_stm07_is($C$6,"W66665549",AA6,1,1000000)</f>
        <v>354522</v>
      </c>
      <c r="AB69" s="63">
        <f>[2]!s_stm07_is($C$6,"W66665549",AB6,1,1000000)</f>
        <v>537317</v>
      </c>
      <c r="AC69" s="63">
        <f>[2]!s_stm07_is($C$6,"W66665549",AC6,1,1000000)</f>
        <v>721439</v>
      </c>
      <c r="AD69" s="63">
        <f>[2]!s_stm07_is($C$6,"W66665549",AD6,1,1000000)</f>
        <v>184303</v>
      </c>
      <c r="AE69" s="63">
        <f>[2]!s_stm07_is($C$6,"W66665549",AE6,1,1000000)</f>
        <v>372507</v>
      </c>
      <c r="AF69" s="63">
        <f>[2]!s_stm07_is($C$6,"W66665549",AF6,1,1000000)</f>
        <v>566769</v>
      </c>
      <c r="AG69" s="63">
        <f>[2]!s_stm07_is($C$6,"W66665549",AG6,1,1000000)</f>
        <v>767111</v>
      </c>
      <c r="AH69" s="63">
        <f>[2]!s_stm07_is($C$6,"W66665549",AH6,1,1000000)</f>
        <v>203145</v>
      </c>
      <c r="AI69" s="63">
        <f>[2]!s_stm07_is($C$6,"W66665549",AI6,1,1000000)</f>
        <v>412613</v>
      </c>
      <c r="AJ69" s="63">
        <f>[2]!s_stm07_is($C$6,"W66665549",AJ6,1,1000000)</f>
        <v>627651</v>
      </c>
      <c r="AK69" s="63">
        <f>[2]!s_stm07_is($C$6,"W66665549",AK6,1,1000000)</f>
        <v>849879</v>
      </c>
      <c r="AL69" s="63">
        <f>[2]!s_stm07_is($C$6,"W66665549",AL6,1,1000000)</f>
        <v>216836</v>
      </c>
      <c r="AM69" s="63">
        <f>[2]!s_stm07_is($C$6,"W66665549",AM6,1,1000000)</f>
        <v>437295</v>
      </c>
      <c r="AN69" s="63">
        <f>[2]!s_stm07_is($C$6,"W66665549",AN6,1,1000000)</f>
        <v>656988</v>
      </c>
      <c r="AO69" s="63">
        <f>[2]!s_stm07_is($C$6,"W66665549",AO6,1,1000000)</f>
        <v>871779</v>
      </c>
      <c r="AP69" s="63">
        <f>[2]!s_stm07_is($C$6,"W66665549",AP6,1,1000000)</f>
        <v>200475</v>
      </c>
      <c r="AQ69" s="63">
        <f>[2]!s_stm07_is($C$6,"W66665549",AQ6,1,1000000)</f>
        <v>395228</v>
      </c>
      <c r="AR69" s="63">
        <f>[2]!s_stm07_is($C$6,"W66665549",AR6,1,1000000)</f>
        <v>590694</v>
      </c>
      <c r="AS69" s="63">
        <f>[2]!s_stm07_is($C$6,"W66665549",AS6,1,1000000)</f>
        <v>791480</v>
      </c>
      <c r="AT69" s="63">
        <f>[2]!s_stm07_is($C$6,"W66665549",AT6,1,1000000)</f>
        <v>203987</v>
      </c>
    </row>
    <row r="70" spans="2:46" s="64" customFormat="1" x14ac:dyDescent="0.35">
      <c r="C70" s="64" t="s">
        <v>96</v>
      </c>
      <c r="E70" s="65">
        <f>0-[2]!s_stm07_is($C$6,"W62987874",E6,1,1000000)</f>
        <v>-109823</v>
      </c>
      <c r="F70" s="65">
        <f>0-[2]!s_stm07_is($C$6,"W62987874",F6,1,1000000)</f>
        <v>-30374</v>
      </c>
      <c r="G70" s="65">
        <f>0-[2]!s_stm07_is($C$6,"W62987874",G6,1,1000000)</f>
        <v>-61589</v>
      </c>
      <c r="H70" s="65">
        <f>0-[2]!s_stm07_is($C$6,"W62987874",H6,1,1000000)</f>
        <v>-96550</v>
      </c>
      <c r="I70" s="65">
        <f>0-[2]!s_stm07_is($C$6,"W62987874",I6,1,1000000)</f>
        <v>-132822</v>
      </c>
      <c r="J70" s="65">
        <f>0-[2]!s_stm07_is($C$6,"W62987874",J6,1,1000000)</f>
        <v>-39322</v>
      </c>
      <c r="K70" s="65">
        <f>0-[2]!s_stm07_is($C$6,"W62987874",K6,1,1000000)</f>
        <v>-83226</v>
      </c>
      <c r="L70" s="65">
        <f>0-[2]!s_stm07_is($C$6,"W62987874",L6,1,1000000)</f>
        <v>-130859</v>
      </c>
      <c r="M70" s="65">
        <f>0-[2]!s_stm07_is($C$6,"W62987874",M6,1,1000000)</f>
        <v>-177537</v>
      </c>
      <c r="N70" s="65">
        <f>0-[2]!s_stm07_is($C$6,"W62987874",N6,1,1000000)</f>
        <v>-42318</v>
      </c>
      <c r="O70" s="65">
        <f>0-[2]!s_stm07_is($C$6,"W62987874",O6,1,1000000)</f>
        <v>-83239</v>
      </c>
      <c r="P70" s="65">
        <f>0-[2]!s_stm07_is($C$6,"W62987874",P6,1,1000000)</f>
        <v>-122570</v>
      </c>
      <c r="Q70" s="65">
        <f>0-[2]!s_stm07_is($C$6,"W62987874",Q6,1,1000000)</f>
        <v>-160057</v>
      </c>
      <c r="R70" s="65">
        <f>0-[2]!s_stm07_is($C$6,"W62987874",R6,1,1000000)</f>
        <v>-37635</v>
      </c>
      <c r="S70" s="65">
        <f>0-[2]!s_stm07_is($C$6,"W62987874",S6,1,1000000)</f>
        <v>-76553</v>
      </c>
      <c r="T70" s="65">
        <f>0-[2]!s_stm07_is($C$6,"W62987874",T6,1,1000000)</f>
        <v>-117155</v>
      </c>
      <c r="U70" s="65">
        <f>0-[2]!s_stm07_is($C$6,"W62987874",U6,1,1000000)</f>
        <v>-159013</v>
      </c>
      <c r="V70" s="65">
        <f>0-[2]!s_stm07_is($C$6,"W62987874",V6,1,1000000)</f>
        <v>-45517</v>
      </c>
      <c r="W70" s="65">
        <f>0-[2]!s_stm07_is($C$6,"W62987874",W6,1,1000000)</f>
        <v>-98215</v>
      </c>
      <c r="X70" s="65">
        <f>0-[2]!s_stm07_is($C$6,"W62987874",X6,1,1000000)</f>
        <v>-159100</v>
      </c>
      <c r="Y70" s="65">
        <f>0-[2]!s_stm07_is($C$6,"W62987874",Y6,1,1000000)</f>
        <v>-226816</v>
      </c>
      <c r="Z70" s="65">
        <f>0-[2]!s_stm07_is($C$6,"W62987874",Z6,1,1000000)</f>
        <v>-75532</v>
      </c>
      <c r="AA70" s="65">
        <f>0-[2]!s_stm07_is($C$6,"W62987874",AA6,1,1000000)</f>
        <v>-150464</v>
      </c>
      <c r="AB70" s="65">
        <f>0-[2]!s_stm07_is($C$6,"W62987874",AB6,1,1000000)</f>
        <v>-225948</v>
      </c>
      <c r="AC70" s="65">
        <f>0-[2]!s_stm07_is($C$6,"W62987874",AC6,1,1000000)</f>
        <v>-303611</v>
      </c>
      <c r="AD70" s="65">
        <f>0-[2]!s_stm07_is($C$6,"W62987874",AD6,1,1000000)</f>
        <v>-77586</v>
      </c>
      <c r="AE70" s="65">
        <f>0-[2]!s_stm07_is($C$6,"W62987874",AE6,1,1000000)</f>
        <v>-156618</v>
      </c>
      <c r="AF70" s="65">
        <f>0-[2]!s_stm07_is($C$6,"W62987874",AF6,1,1000000)</f>
        <v>-239133</v>
      </c>
      <c r="AG70" s="65">
        <f>0-[2]!s_stm07_is($C$6,"W62987874",AG6,1,1000000)</f>
        <v>-323776</v>
      </c>
      <c r="AH70" s="65">
        <f>0-[2]!s_stm07_is($C$6,"W62987874",AH6,1,1000000)</f>
        <v>-87320</v>
      </c>
      <c r="AI70" s="65">
        <f>0-[2]!s_stm07_is($C$6,"W62987874",AI6,1,1000000)</f>
        <v>-175006</v>
      </c>
      <c r="AJ70" s="65">
        <f>0-[2]!s_stm07_is($C$6,"W62987874",AJ6,1,1000000)</f>
        <v>-264717</v>
      </c>
      <c r="AK70" s="65">
        <f>0-[2]!s_stm07_is($C$6,"W62987874",AK6,1,1000000)</f>
        <v>-356357</v>
      </c>
      <c r="AL70" s="65">
        <f>0-[2]!s_stm07_is($C$6,"W62987874",AL6,1,1000000)</f>
        <v>-91553</v>
      </c>
      <c r="AM70" s="65">
        <f>0-[2]!s_stm07_is($C$6,"W62987874",AM6,1,1000000)</f>
        <v>-185208</v>
      </c>
      <c r="AN70" s="65">
        <f>0-[2]!s_stm07_is($C$6,"W62987874",AN6,1,1000000)</f>
        <v>-277043</v>
      </c>
      <c r="AO70" s="65">
        <f>0-[2]!s_stm07_is($C$6,"W62987874",AO6,1,1000000)</f>
        <v>-363912</v>
      </c>
      <c r="AP70" s="65">
        <f>0-[2]!s_stm07_is($C$6,"W62987874",AP6,1,1000000)</f>
        <v>-81665</v>
      </c>
      <c r="AQ70" s="65">
        <f>0-[2]!s_stm07_is($C$6,"W62987874",AQ6,1,1000000)</f>
        <v>-160948</v>
      </c>
      <c r="AR70" s="65">
        <f>0-[2]!s_stm07_is($C$6,"W62987874",AR6,1,1000000)</f>
        <v>-239336</v>
      </c>
      <c r="AS70" s="65">
        <f>0-[2]!s_stm07_is($C$6,"W62987874",AS6,1,1000000)</f>
        <v>-319634</v>
      </c>
      <c r="AT70" s="65">
        <f>0-[2]!s_stm07_is($C$6,"W62987874",AT6,1,1000000)</f>
        <v>-82017</v>
      </c>
    </row>
    <row r="71" spans="2:46" x14ac:dyDescent="0.35">
      <c r="C71" s="66" t="s">
        <v>97</v>
      </c>
      <c r="E71" s="67">
        <f>E72+E75</f>
        <v>18339</v>
      </c>
      <c r="F71" s="67">
        <f t="shared" ref="F71:AS71" si="11">F72+F75</f>
        <v>6292</v>
      </c>
      <c r="G71" s="67">
        <f t="shared" si="11"/>
        <v>14106</v>
      </c>
      <c r="H71" s="67">
        <f t="shared" si="11"/>
        <v>22379</v>
      </c>
      <c r="I71" s="67">
        <f t="shared" si="11"/>
        <v>29415</v>
      </c>
      <c r="J71" s="67">
        <f t="shared" si="11"/>
        <v>9288</v>
      </c>
      <c r="K71" s="67">
        <f t="shared" si="11"/>
        <v>22862</v>
      </c>
      <c r="L71" s="67">
        <f t="shared" si="11"/>
        <v>34735</v>
      </c>
      <c r="M71" s="67">
        <f t="shared" si="11"/>
        <v>46721</v>
      </c>
      <c r="N71" s="67">
        <f t="shared" si="11"/>
        <v>15139</v>
      </c>
      <c r="O71" s="67">
        <f t="shared" si="11"/>
        <v>32314</v>
      </c>
      <c r="P71" s="67">
        <f t="shared" si="11"/>
        <v>48385</v>
      </c>
      <c r="Q71" s="67">
        <f t="shared" si="11"/>
        <v>63633</v>
      </c>
      <c r="R71" s="67">
        <f t="shared" si="11"/>
        <v>18937</v>
      </c>
      <c r="S71" s="67">
        <f t="shared" si="11"/>
        <v>38396</v>
      </c>
      <c r="T71" s="67">
        <f t="shared" si="11"/>
        <v>57027</v>
      </c>
      <c r="U71" s="67">
        <f t="shared" si="11"/>
        <v>77072</v>
      </c>
      <c r="V71" s="67">
        <f t="shared" si="11"/>
        <v>28441</v>
      </c>
      <c r="W71" s="67">
        <f t="shared" si="11"/>
        <v>58184</v>
      </c>
      <c r="X71" s="67">
        <f t="shared" si="11"/>
        <v>84642</v>
      </c>
      <c r="Y71" s="67">
        <f t="shared" si="11"/>
        <v>112450</v>
      </c>
      <c r="Z71" s="67">
        <f t="shared" si="11"/>
        <v>32201</v>
      </c>
      <c r="AA71" s="67">
        <f t="shared" si="11"/>
        <v>61428</v>
      </c>
      <c r="AB71" s="67">
        <f t="shared" si="11"/>
        <v>90104</v>
      </c>
      <c r="AC71" s="67">
        <f t="shared" si="11"/>
        <v>119117</v>
      </c>
      <c r="AD71" s="67">
        <f t="shared" si="11"/>
        <v>41043</v>
      </c>
      <c r="AE71" s="67">
        <f t="shared" si="11"/>
        <v>82718</v>
      </c>
      <c r="AF71" s="67">
        <f t="shared" si="11"/>
        <v>114281</v>
      </c>
      <c r="AG71" s="67">
        <f t="shared" si="11"/>
        <v>146302</v>
      </c>
      <c r="AH71" s="67">
        <f t="shared" si="11"/>
        <v>46808</v>
      </c>
      <c r="AI71" s="67">
        <f t="shared" si="11"/>
        <v>90818</v>
      </c>
      <c r="AJ71" s="67">
        <f t="shared" si="11"/>
        <v>125655</v>
      </c>
      <c r="AK71" s="67">
        <f t="shared" si="11"/>
        <v>165370</v>
      </c>
      <c r="AL71" s="67">
        <f t="shared" si="11"/>
        <v>55881</v>
      </c>
      <c r="AM71" s="67">
        <f t="shared" si="11"/>
        <v>104155</v>
      </c>
      <c r="AN71" s="67">
        <f t="shared" si="11"/>
        <v>144683</v>
      </c>
      <c r="AO71" s="67">
        <f t="shared" si="11"/>
        <v>189780</v>
      </c>
      <c r="AP71" s="67">
        <f t="shared" si="11"/>
        <v>75079</v>
      </c>
      <c r="AQ71" s="67">
        <f t="shared" si="11"/>
        <v>123390</v>
      </c>
      <c r="AR71" s="67">
        <f t="shared" si="11"/>
        <v>166416</v>
      </c>
      <c r="AS71" s="67">
        <f t="shared" si="11"/>
        <v>204045</v>
      </c>
      <c r="AT71" s="67">
        <f>AT72+AT75</f>
        <v>67555</v>
      </c>
    </row>
    <row r="72" spans="2:46" x14ac:dyDescent="0.35">
      <c r="C72" s="17" t="s">
        <v>98</v>
      </c>
      <c r="E72" s="24">
        <f>E73-E74</f>
        <v>20714</v>
      </c>
      <c r="F72" s="24">
        <f t="shared" ref="F72:AS72" si="12">F73+F74</f>
        <v>6470</v>
      </c>
      <c r="G72" s="24">
        <f t="shared" si="12"/>
        <v>14868</v>
      </c>
      <c r="H72" s="24">
        <f t="shared" si="12"/>
        <v>24284</v>
      </c>
      <c r="I72" s="24">
        <f t="shared" si="12"/>
        <v>34384</v>
      </c>
      <c r="J72" s="24">
        <f t="shared" si="12"/>
        <v>12057</v>
      </c>
      <c r="K72" s="24">
        <f t="shared" si="12"/>
        <v>24480</v>
      </c>
      <c r="L72" s="24">
        <f t="shared" si="12"/>
        <v>34583</v>
      </c>
      <c r="M72" s="24">
        <f t="shared" si="12"/>
        <v>44002</v>
      </c>
      <c r="N72" s="24">
        <f t="shared" si="12"/>
        <v>13548</v>
      </c>
      <c r="O72" s="24">
        <f t="shared" si="12"/>
        <v>27744</v>
      </c>
      <c r="P72" s="24">
        <f t="shared" si="12"/>
        <v>41061</v>
      </c>
      <c r="Q72" s="24">
        <f t="shared" si="12"/>
        <v>55147</v>
      </c>
      <c r="R72" s="24">
        <f t="shared" si="12"/>
        <v>18256</v>
      </c>
      <c r="S72" s="24">
        <f t="shared" si="12"/>
        <v>36889</v>
      </c>
      <c r="T72" s="24">
        <f t="shared" si="12"/>
        <v>54563</v>
      </c>
      <c r="U72" s="24">
        <f t="shared" si="12"/>
        <v>72840</v>
      </c>
      <c r="V72" s="24">
        <f t="shared" si="12"/>
        <v>25927</v>
      </c>
      <c r="W72" s="24">
        <f t="shared" si="12"/>
        <v>53791</v>
      </c>
      <c r="X72" s="24">
        <f t="shared" si="12"/>
        <v>78295</v>
      </c>
      <c r="Y72" s="24">
        <f t="shared" si="12"/>
        <v>101550</v>
      </c>
      <c r="Z72" s="24">
        <f t="shared" si="12"/>
        <v>28622</v>
      </c>
      <c r="AA72" s="24">
        <f t="shared" si="12"/>
        <v>54804</v>
      </c>
      <c r="AB72" s="24">
        <f t="shared" si="12"/>
        <v>79687</v>
      </c>
      <c r="AC72" s="24">
        <f t="shared" si="12"/>
        <v>106064</v>
      </c>
      <c r="AD72" s="24">
        <f t="shared" si="12"/>
        <v>34185</v>
      </c>
      <c r="AE72" s="24">
        <f t="shared" si="12"/>
        <v>67382</v>
      </c>
      <c r="AF72" s="24">
        <f t="shared" si="12"/>
        <v>95503</v>
      </c>
      <c r="AG72" s="24">
        <f t="shared" si="12"/>
        <v>122326</v>
      </c>
      <c r="AH72" s="24">
        <f t="shared" si="12"/>
        <v>37682</v>
      </c>
      <c r="AI72" s="24">
        <f t="shared" si="12"/>
        <v>73228</v>
      </c>
      <c r="AJ72" s="24">
        <f t="shared" si="12"/>
        <v>100885</v>
      </c>
      <c r="AK72" s="24">
        <f t="shared" si="12"/>
        <v>132497</v>
      </c>
      <c r="AL72" s="24">
        <f t="shared" si="12"/>
        <v>37210</v>
      </c>
      <c r="AM72" s="24">
        <f t="shared" si="12"/>
        <v>77120</v>
      </c>
      <c r="AN72" s="24">
        <f t="shared" si="12"/>
        <v>111183</v>
      </c>
      <c r="AO72" s="24">
        <f t="shared" si="12"/>
        <v>143391</v>
      </c>
      <c r="AP72" s="24">
        <f t="shared" si="12"/>
        <v>43485</v>
      </c>
      <c r="AQ72" s="24">
        <f t="shared" si="12"/>
        <v>81715</v>
      </c>
      <c r="AR72" s="24">
        <f t="shared" si="12"/>
        <v>113748</v>
      </c>
      <c r="AS72" s="24">
        <f t="shared" si="12"/>
        <v>144973</v>
      </c>
      <c r="AT72" s="24">
        <f>AT73+AT74</f>
        <v>40958</v>
      </c>
    </row>
    <row r="73" spans="2:46" x14ac:dyDescent="0.35">
      <c r="C73" s="17" t="s">
        <v>99</v>
      </c>
      <c r="E73" s="68">
        <f>[2]!s_stm07_is($C$6,"W68082914",E6,1,1000000)</f>
        <v>18529</v>
      </c>
      <c r="F73" s="68">
        <f>[2]!s_stm07_is($C$6,"W68082914",F6,1,1000000)</f>
        <v>6993</v>
      </c>
      <c r="G73" s="68">
        <f>[2]!s_stm07_is($C$6,"W68082914",G6,1,1000000)</f>
        <v>16111</v>
      </c>
      <c r="H73" s="68">
        <f>[2]!s_stm07_is($C$6,"W68082914",H6,1,1000000)</f>
        <v>26315</v>
      </c>
      <c r="I73" s="68">
        <f>[2]!s_stm07_is($C$6,"W68082914",I6,1,1000000)</f>
        <v>37439</v>
      </c>
      <c r="J73" s="68">
        <f>[2]!s_stm07_is($C$6,"W68082914",J6,1,1000000)</f>
        <v>12784</v>
      </c>
      <c r="K73" s="68">
        <f>[2]!s_stm07_is($C$6,"W68082914",K6,1,1000000)</f>
        <v>25470</v>
      </c>
      <c r="L73" s="68">
        <f>[2]!s_stm07_is($C$6,"W68082914",L6,1,1000000)</f>
        <v>36313</v>
      </c>
      <c r="M73" s="68">
        <f>[2]!s_stm07_is($C$6,"W68082914",M6,1,1000000)</f>
        <v>46711</v>
      </c>
      <c r="N73" s="68">
        <f>[2]!s_stm07_is($C$6,"W68082914",N6,1,1000000)</f>
        <v>14239</v>
      </c>
      <c r="O73" s="68">
        <f>[2]!s_stm07_is($C$6,"W68082914",O6,1,1000000)</f>
        <v>29291</v>
      </c>
      <c r="P73" s="68">
        <f>[2]!s_stm07_is($C$6,"W68082914",P6,1,1000000)</f>
        <v>43642</v>
      </c>
      <c r="Q73" s="68">
        <f>[2]!s_stm07_is($C$6,"W68082914",Q6,1,1000000)</f>
        <v>59042</v>
      </c>
      <c r="R73" s="68">
        <f>[2]!s_stm07_is($C$6,"W68082914",R6,1,1000000)</f>
        <v>19281</v>
      </c>
      <c r="S73" s="68">
        <f>[2]!s_stm07_is($C$6,"W68082914",S6,1,1000000)</f>
        <v>39055</v>
      </c>
      <c r="T73" s="68">
        <f>[2]!s_stm07_is($C$6,"W68082914",T6,1,1000000)</f>
        <v>58029</v>
      </c>
      <c r="U73" s="68">
        <f>[2]!s_stm07_is($C$6,"W68082914",U6,1,1000000)</f>
        <v>78008</v>
      </c>
      <c r="V73" s="68">
        <f>[2]!s_stm07_is($C$6,"W68082914",V6,1,1000000)</f>
        <v>27326</v>
      </c>
      <c r="W73" s="68">
        <f>[2]!s_stm07_is($C$6,"W68082914",W6,1,1000000)</f>
        <v>56844</v>
      </c>
      <c r="X73" s="68">
        <f>[2]!s_stm07_is($C$6,"W68082914",X6,1,1000000)</f>
        <v>83273</v>
      </c>
      <c r="Y73" s="68">
        <f>[2]!s_stm07_is($C$6,"W68082914",Y6,1,1000000)</f>
        <v>109077</v>
      </c>
      <c r="Z73" s="68">
        <f>[2]!s_stm07_is($C$6,"W68082914",Z6,1,1000000)</f>
        <v>30526</v>
      </c>
      <c r="AA73" s="68">
        <f>[2]!s_stm07_is($C$6,"W68082914",AA6,1,1000000)</f>
        <v>58836</v>
      </c>
      <c r="AB73" s="68">
        <f>[2]!s_stm07_is($C$6,"W68082914",AB6,1,1000000)</f>
        <v>86184</v>
      </c>
      <c r="AC73" s="68">
        <f>[2]!s_stm07_is($C$6,"W68082914",AC6,1,1000000)</f>
        <v>115881</v>
      </c>
      <c r="AD73" s="68">
        <f>[2]!s_stm07_is($C$6,"W68082914",AD6,1,1000000)</f>
        <v>36629</v>
      </c>
      <c r="AE73" s="68">
        <f>[2]!s_stm07_is($C$6,"W68082914",AE6,1,1000000)</f>
        <v>72512</v>
      </c>
      <c r="AF73" s="68">
        <f>[2]!s_stm07_is($C$6,"W68082914",AF6,1,1000000)</f>
        <v>103698</v>
      </c>
      <c r="AG73" s="68">
        <f>[2]!s_stm07_is($C$6,"W68082914",AG6,1,1000000)</f>
        <v>134550</v>
      </c>
      <c r="AH73" s="68">
        <f>[2]!s_stm07_is($C$6,"W68082914",AH6,1,1000000)</f>
        <v>40550</v>
      </c>
      <c r="AI73" s="68">
        <f>[2]!s_stm07_is($C$6,"W68082914",AI6,1,1000000)</f>
        <v>79386</v>
      </c>
      <c r="AJ73" s="68">
        <f>[2]!s_stm07_is($C$6,"W68082914",AJ6,1,1000000)</f>
        <v>110598</v>
      </c>
      <c r="AK73" s="68">
        <f>[2]!s_stm07_is($C$6,"W68082914",AK6,1,1000000)</f>
        <v>146678</v>
      </c>
      <c r="AL73" s="68">
        <f>[2]!s_stm07_is($C$6,"W68082914",AL6,1,1000000)</f>
        <v>40728</v>
      </c>
      <c r="AM73" s="68">
        <f>[2]!s_stm07_is($C$6,"W68082914",AM6,1,1000000)</f>
        <v>85330</v>
      </c>
      <c r="AN73" s="68">
        <f>[2]!s_stm07_is($C$6,"W68082914",AN6,1,1000000)</f>
        <v>123761</v>
      </c>
      <c r="AO73" s="68">
        <f>[2]!s_stm07_is($C$6,"W68082914",AO6,1,1000000)</f>
        <v>161670</v>
      </c>
      <c r="AP73" s="68">
        <f>[2]!s_stm07_is($C$6,"W68082914",AP6,1,1000000)</f>
        <v>47744</v>
      </c>
      <c r="AQ73" s="68">
        <f>[2]!s_stm07_is($C$6,"W68082914",AQ6,1,1000000)</f>
        <v>90816</v>
      </c>
      <c r="AR73" s="68">
        <f>[2]!s_stm07_is($C$6,"W68082914",AR6,1,1000000)</f>
        <v>127797</v>
      </c>
      <c r="AS73" s="68">
        <f>[2]!s_stm07_is($C$6,"W68082914",AS6,1,1000000)</f>
        <v>164714</v>
      </c>
      <c r="AT73" s="68">
        <f>[2]!s_stm07_is($C$6,"W68082914",AT6,1,1000000)</f>
        <v>45090</v>
      </c>
    </row>
    <row r="74" spans="2:46" x14ac:dyDescent="0.35">
      <c r="C74" s="51" t="s">
        <v>100</v>
      </c>
      <c r="E74" s="69">
        <f>0-[2]!s_stm07_is($C$6,"W62767802",E6,1,1000000)</f>
        <v>-2185</v>
      </c>
      <c r="F74" s="69">
        <f>0-[2]!s_stm07_is($C$6,"W62767802",F6,1,1000000)</f>
        <v>-523</v>
      </c>
      <c r="G74" s="69">
        <f>0-[2]!s_stm07_is($C$6,"W62767802",G6,1,1000000)</f>
        <v>-1243</v>
      </c>
      <c r="H74" s="69">
        <f>0-[2]!s_stm07_is($C$6,"W62767802",H6,1,1000000)</f>
        <v>-2031</v>
      </c>
      <c r="I74" s="69">
        <f>0-[2]!s_stm07_is($C$6,"W62767802",I6,1,1000000)</f>
        <v>-3055</v>
      </c>
      <c r="J74" s="69">
        <f>0-[2]!s_stm07_is($C$6,"W62767802",J6,1,1000000)</f>
        <v>-727</v>
      </c>
      <c r="K74" s="69">
        <f>0-[2]!s_stm07_is($C$6,"W62767802",K6,1,1000000)</f>
        <v>-990</v>
      </c>
      <c r="L74" s="69">
        <f>0-[2]!s_stm07_is($C$6,"W62767802",L6,1,1000000)</f>
        <v>-1730</v>
      </c>
      <c r="M74" s="69">
        <f>0-[2]!s_stm07_is($C$6,"W62767802",M6,1,1000000)</f>
        <v>-2709</v>
      </c>
      <c r="N74" s="69">
        <f>0-[2]!s_stm07_is($C$6,"W62767802",N6,1,1000000)</f>
        <v>-691</v>
      </c>
      <c r="O74" s="69">
        <f>0-[2]!s_stm07_is($C$6,"W62767802",O6,1,1000000)</f>
        <v>-1547</v>
      </c>
      <c r="P74" s="69">
        <f>0-[2]!s_stm07_is($C$6,"W62767802",P6,1,1000000)</f>
        <v>-2581</v>
      </c>
      <c r="Q74" s="69">
        <f>0-[2]!s_stm07_is($C$6,"W62767802",Q6,1,1000000)</f>
        <v>-3895</v>
      </c>
      <c r="R74" s="69">
        <f>0-[2]!s_stm07_is($C$6,"W62767802",R6,1,1000000)</f>
        <v>-1025</v>
      </c>
      <c r="S74" s="69">
        <f>0-[2]!s_stm07_is($C$6,"W62767802",S6,1,1000000)</f>
        <v>-2166</v>
      </c>
      <c r="T74" s="69">
        <f>0-[2]!s_stm07_is($C$6,"W62767802",T6,1,1000000)</f>
        <v>-3466</v>
      </c>
      <c r="U74" s="69">
        <f>0-[2]!s_stm07_is($C$6,"W62767802",U6,1,1000000)</f>
        <v>-5168</v>
      </c>
      <c r="V74" s="69">
        <f>0-[2]!s_stm07_is($C$6,"W62767802",V6,1,1000000)</f>
        <v>-1399</v>
      </c>
      <c r="W74" s="69">
        <f>0-[2]!s_stm07_is($C$6,"W62767802",W6,1,1000000)</f>
        <v>-3053</v>
      </c>
      <c r="X74" s="69">
        <f>0-[2]!s_stm07_is($C$6,"W62767802",X6,1,1000000)</f>
        <v>-4978</v>
      </c>
      <c r="Y74" s="69">
        <f>0-[2]!s_stm07_is($C$6,"W62767802",Y6,1,1000000)</f>
        <v>-7527</v>
      </c>
      <c r="Z74" s="69">
        <f>0-[2]!s_stm07_is($C$6,"W62767802",Z6,1,1000000)</f>
        <v>-1904</v>
      </c>
      <c r="AA74" s="69">
        <f>0-[2]!s_stm07_is($C$6,"W62767802",AA6,1,1000000)</f>
        <v>-4032</v>
      </c>
      <c r="AB74" s="69">
        <f>0-[2]!s_stm07_is($C$6,"W62767802",AB6,1,1000000)</f>
        <v>-6497</v>
      </c>
      <c r="AC74" s="69">
        <f>0-[2]!s_stm07_is($C$6,"W62767802",AC6,1,1000000)</f>
        <v>-9817</v>
      </c>
      <c r="AD74" s="69">
        <f>0-[2]!s_stm07_is($C$6,"W62767802",AD6,1,1000000)</f>
        <v>-2444</v>
      </c>
      <c r="AE74" s="69">
        <f>0-[2]!s_stm07_is($C$6,"W62767802",AE6,1,1000000)</f>
        <v>-5130</v>
      </c>
      <c r="AF74" s="69">
        <f>0-[2]!s_stm07_is($C$6,"W62767802",AF6,1,1000000)</f>
        <v>-8195</v>
      </c>
      <c r="AG74" s="69">
        <f>0-[2]!s_stm07_is($C$6,"W62767802",AG6,1,1000000)</f>
        <v>-12224</v>
      </c>
      <c r="AH74" s="69">
        <f>0-[2]!s_stm07_is($C$6,"W62767802",AH6,1,1000000)</f>
        <v>-2868</v>
      </c>
      <c r="AI74" s="69">
        <f>0-[2]!s_stm07_is($C$6,"W62767802",AI6,1,1000000)</f>
        <v>-6158</v>
      </c>
      <c r="AJ74" s="69">
        <f>0-[2]!s_stm07_is($C$6,"W62767802",AJ6,1,1000000)</f>
        <v>-9713</v>
      </c>
      <c r="AK74" s="69">
        <f>0-[2]!s_stm07_is($C$6,"W62767802",AK6,1,1000000)</f>
        <v>-14181</v>
      </c>
      <c r="AL74" s="69">
        <f>0-[2]!s_stm07_is($C$6,"W62767802",AL6,1,1000000)</f>
        <v>-3518</v>
      </c>
      <c r="AM74" s="69">
        <f>0-[2]!s_stm07_is($C$6,"W62767802",AM6,1,1000000)</f>
        <v>-8210</v>
      </c>
      <c r="AN74" s="69">
        <f>0-[2]!s_stm07_is($C$6,"W62767802",AN6,1,1000000)</f>
        <v>-12578</v>
      </c>
      <c r="AO74" s="69">
        <f>0-[2]!s_stm07_is($C$6,"W62767802",AO6,1,1000000)</f>
        <v>-18279</v>
      </c>
      <c r="AP74" s="69">
        <f>0-[2]!s_stm07_is($C$6,"W62767802",AP6,1,1000000)</f>
        <v>-4259</v>
      </c>
      <c r="AQ74" s="69">
        <f>0-[2]!s_stm07_is($C$6,"W62767802",AQ6,1,1000000)</f>
        <v>-9101</v>
      </c>
      <c r="AR74" s="69">
        <f>0-[2]!s_stm07_is($C$6,"W62767802",AR6,1,1000000)</f>
        <v>-14049</v>
      </c>
      <c r="AS74" s="69">
        <f>0-[2]!s_stm07_is($C$6,"W62767802",AS6,1,1000000)</f>
        <v>-19741</v>
      </c>
      <c r="AT74" s="69">
        <f>0-[2]!s_stm07_is($C$6,"W62767802",AT6,1,1000000)</f>
        <v>-4132</v>
      </c>
    </row>
    <row r="75" spans="2:46" x14ac:dyDescent="0.35">
      <c r="C75" s="17" t="s">
        <v>101</v>
      </c>
      <c r="E75" s="24">
        <f>SUM(E76:E79)</f>
        <v>-2375</v>
      </c>
      <c r="F75" s="24">
        <f t="shared" ref="F75:AS75" si="13">SUM(F76:F79)</f>
        <v>-178</v>
      </c>
      <c r="G75" s="24">
        <f t="shared" si="13"/>
        <v>-762</v>
      </c>
      <c r="H75" s="24">
        <f t="shared" si="13"/>
        <v>-1905</v>
      </c>
      <c r="I75" s="24">
        <f t="shared" si="13"/>
        <v>-4969</v>
      </c>
      <c r="J75" s="24">
        <f t="shared" si="13"/>
        <v>-2769</v>
      </c>
      <c r="K75" s="24">
        <f t="shared" si="13"/>
        <v>-1618</v>
      </c>
      <c r="L75" s="24">
        <f t="shared" si="13"/>
        <v>152</v>
      </c>
      <c r="M75" s="24">
        <f t="shared" si="13"/>
        <v>2719</v>
      </c>
      <c r="N75" s="24">
        <f t="shared" si="13"/>
        <v>1591</v>
      </c>
      <c r="O75" s="24">
        <f t="shared" si="13"/>
        <v>4570</v>
      </c>
      <c r="P75" s="24">
        <f t="shared" si="13"/>
        <v>7324</v>
      </c>
      <c r="Q75" s="24">
        <f t="shared" si="13"/>
        <v>8486</v>
      </c>
      <c r="R75" s="24">
        <f t="shared" si="13"/>
        <v>681</v>
      </c>
      <c r="S75" s="24">
        <f t="shared" si="13"/>
        <v>1507</v>
      </c>
      <c r="T75" s="24">
        <f t="shared" si="13"/>
        <v>2464</v>
      </c>
      <c r="U75" s="24">
        <f t="shared" si="13"/>
        <v>4232</v>
      </c>
      <c r="V75" s="24">
        <f t="shared" si="13"/>
        <v>2514</v>
      </c>
      <c r="W75" s="24">
        <f t="shared" si="13"/>
        <v>4393</v>
      </c>
      <c r="X75" s="24">
        <f t="shared" si="13"/>
        <v>6347</v>
      </c>
      <c r="Y75" s="24">
        <f t="shared" si="13"/>
        <v>10900</v>
      </c>
      <c r="Z75" s="24">
        <f t="shared" si="13"/>
        <v>3579</v>
      </c>
      <c r="AA75" s="24">
        <f t="shared" si="13"/>
        <v>6624</v>
      </c>
      <c r="AB75" s="24">
        <f t="shared" si="13"/>
        <v>10417</v>
      </c>
      <c r="AC75" s="24">
        <f t="shared" si="13"/>
        <v>13053</v>
      </c>
      <c r="AD75" s="24">
        <f t="shared" si="13"/>
        <v>6858</v>
      </c>
      <c r="AE75" s="24">
        <f t="shared" si="13"/>
        <v>15336</v>
      </c>
      <c r="AF75" s="24">
        <f t="shared" si="13"/>
        <v>18778</v>
      </c>
      <c r="AG75" s="24">
        <f t="shared" si="13"/>
        <v>23976</v>
      </c>
      <c r="AH75" s="24">
        <f t="shared" si="13"/>
        <v>9126</v>
      </c>
      <c r="AI75" s="24">
        <f t="shared" si="13"/>
        <v>17590</v>
      </c>
      <c r="AJ75" s="24">
        <f t="shared" si="13"/>
        <v>24770</v>
      </c>
      <c r="AK75" s="24">
        <f t="shared" si="13"/>
        <v>32873</v>
      </c>
      <c r="AL75" s="24">
        <f t="shared" si="13"/>
        <v>18671</v>
      </c>
      <c r="AM75" s="24">
        <f t="shared" si="13"/>
        <v>27035</v>
      </c>
      <c r="AN75" s="24">
        <f t="shared" si="13"/>
        <v>33500</v>
      </c>
      <c r="AO75" s="24">
        <f t="shared" si="13"/>
        <v>46389</v>
      </c>
      <c r="AP75" s="24">
        <f t="shared" si="13"/>
        <v>31594</v>
      </c>
      <c r="AQ75" s="24">
        <f t="shared" si="13"/>
        <v>41675</v>
      </c>
      <c r="AR75" s="24">
        <f t="shared" si="13"/>
        <v>52668</v>
      </c>
      <c r="AS75" s="24">
        <f t="shared" si="13"/>
        <v>59072</v>
      </c>
      <c r="AT75" s="24">
        <f>SUM(AT76:AT79)</f>
        <v>26597</v>
      </c>
    </row>
    <row r="76" spans="2:46" x14ac:dyDescent="0.35">
      <c r="C76" s="17" t="s">
        <v>102</v>
      </c>
      <c r="E76" s="68">
        <f>[2]!s_stm07_is($C$6,"W68338469",E6,1,1000000)</f>
        <v>0</v>
      </c>
      <c r="F76" s="68">
        <f>[2]!s_stm07_is($C$6,"W68338469",F6,1,1000000)</f>
        <v>74</v>
      </c>
      <c r="G76" s="68">
        <f>[2]!s_stm07_is($C$6,"W68338469",G6,1,1000000)</f>
        <v>108</v>
      </c>
      <c r="H76" s="68">
        <f>[2]!s_stm07_is($C$6,"W68338469",H6,1,1000000)</f>
        <v>-262</v>
      </c>
      <c r="I76" s="68">
        <f>[2]!s_stm07_is($C$6,"W68338469",I6,1,1000000)</f>
        <v>-128</v>
      </c>
      <c r="J76" s="68">
        <f>[2]!s_stm07_is($C$6,"W68338469",J6,1,1000000)</f>
        <v>-62</v>
      </c>
      <c r="K76" s="68">
        <f>[2]!s_stm07_is($C$6,"W68338469",K6,1,1000000)</f>
        <v>-213</v>
      </c>
      <c r="L76" s="68">
        <f>[2]!s_stm07_is($C$6,"W68338469",L6,1,1000000)</f>
        <v>-40</v>
      </c>
      <c r="M76" s="68">
        <f>[2]!s_stm07_is($C$6,"W68338469",M6,1,1000000)</f>
        <v>-71</v>
      </c>
      <c r="N76" s="68">
        <f>[2]!s_stm07_is($C$6,"W68338469",N6,1,1000000)</f>
        <v>92</v>
      </c>
      <c r="O76" s="68">
        <f>[2]!s_stm07_is($C$6,"W68338469",O6,1,1000000)</f>
        <v>380</v>
      </c>
      <c r="P76" s="68">
        <f>[2]!s_stm07_is($C$6,"W68338469",P6,1,1000000)</f>
        <v>-95</v>
      </c>
      <c r="Q76" s="68">
        <f>[2]!s_stm07_is($C$6,"W68338469",Q6,1,1000000)</f>
        <v>-101</v>
      </c>
      <c r="R76" s="68">
        <f>[2]!s_stm07_is($C$6,"W68338469",R6,1,1000000)</f>
        <v>183</v>
      </c>
      <c r="S76" s="68">
        <f>[2]!s_stm07_is($C$6,"W68338469",S6,1,1000000)</f>
        <v>-48</v>
      </c>
      <c r="T76" s="68">
        <f>[2]!s_stm07_is($C$6,"W68338469",T6,1,1000000)</f>
        <v>178</v>
      </c>
      <c r="U76" s="68">
        <f>[2]!s_stm07_is($C$6,"W68338469",U6,1,1000000)</f>
        <v>108</v>
      </c>
      <c r="V76" s="68">
        <f>[2]!s_stm07_is($C$6,"W68338469",V6,1,1000000)</f>
        <v>-83</v>
      </c>
      <c r="W76" s="68">
        <f>[2]!s_stm07_is($C$6,"W68338469",W6,1,1000000)</f>
        <v>-208</v>
      </c>
      <c r="X76" s="68">
        <f>[2]!s_stm07_is($C$6,"W68338469",X6,1,1000000)</f>
        <v>-778</v>
      </c>
      <c r="Y76" s="68">
        <f>[2]!s_stm07_is($C$6,"W68338469",Y6,1,1000000)</f>
        <v>-211</v>
      </c>
      <c r="Z76" s="68">
        <f>[2]!s_stm07_is($C$6,"W68338469",Z6,1,1000000)</f>
        <v>-5</v>
      </c>
      <c r="AA76" s="68">
        <f>[2]!s_stm07_is($C$6,"W68338469",AA6,1,1000000)</f>
        <v>-255</v>
      </c>
      <c r="AB76" s="68">
        <f>[2]!s_stm07_is($C$6,"W68338469",AB6,1,1000000)</f>
        <v>-567</v>
      </c>
      <c r="AC76" s="68">
        <f>[2]!s_stm07_is($C$6,"W68338469",AC6,1,1000000)</f>
        <v>-371</v>
      </c>
      <c r="AD76" s="68">
        <f>[2]!s_stm07_is($C$6,"W68338469",AD6,1,1000000)</f>
        <v>692</v>
      </c>
      <c r="AE76" s="68">
        <f>[2]!s_stm07_is($C$6,"W68338469",AE6,1,1000000)</f>
        <v>-263</v>
      </c>
      <c r="AF76" s="68">
        <f>[2]!s_stm07_is($C$6,"W68338469",AF6,1,1000000)</f>
        <v>-801</v>
      </c>
      <c r="AG76" s="68">
        <f>[2]!s_stm07_is($C$6,"W68338469",AG6,1,1000000)</f>
        <v>-151</v>
      </c>
      <c r="AH76" s="68">
        <f>[2]!s_stm07_is($C$6,"W68338469",AH6,1,1000000)</f>
        <v>1066</v>
      </c>
      <c r="AI76" s="68">
        <f>[2]!s_stm07_is($C$6,"W68338469",AI6,1,1000000)</f>
        <v>1202</v>
      </c>
      <c r="AJ76" s="68">
        <f>[2]!s_stm07_is($C$6,"W68338469",AJ6,1,1000000)</f>
        <v>417</v>
      </c>
      <c r="AK76" s="68">
        <f>[2]!s_stm07_is($C$6,"W68338469",AK6,1,1000000)</f>
        <v>680</v>
      </c>
      <c r="AL76" s="68">
        <f>[2]!s_stm07_is($C$6,"W68338469",AL6,1,1000000)</f>
        <v>-1295</v>
      </c>
      <c r="AM76" s="68">
        <f>[2]!s_stm07_is($C$6,"W68338469",AM6,1,1000000)</f>
        <v>-114</v>
      </c>
      <c r="AN76" s="68">
        <f>[2]!s_stm07_is($C$6,"W68338469",AN6,1,1000000)</f>
        <v>2083</v>
      </c>
      <c r="AO76" s="68">
        <f>[2]!s_stm07_is($C$6,"W68338469",AO6,1,1000000)</f>
        <v>2796</v>
      </c>
      <c r="AP76" s="68">
        <f>[2]!s_stm07_is($C$6,"W68338469",AP6,1,1000000)</f>
        <v>2028</v>
      </c>
      <c r="AQ76" s="68">
        <f>[2]!s_stm07_is($C$6,"W68338469",AQ6,1,1000000)</f>
        <v>3166</v>
      </c>
      <c r="AR76" s="68">
        <f>[2]!s_stm07_is($C$6,"W68338469",AR6,1,1000000)</f>
        <v>4607</v>
      </c>
      <c r="AS76" s="68">
        <f>[2]!s_stm07_is($C$6,"W68338469",AS6,1,1000000)</f>
        <v>4168</v>
      </c>
      <c r="AT76" s="68">
        <f>[2]!s_stm07_is($C$6,"W68338469",AT6,1,1000000)</f>
        <v>-100</v>
      </c>
    </row>
    <row r="77" spans="2:46" x14ac:dyDescent="0.35">
      <c r="C77" s="17" t="s">
        <v>103</v>
      </c>
      <c r="E77" s="68">
        <f>[2]!s_stm07_is($C$6,"W63091148",E6,1,1000000)</f>
        <v>-2418</v>
      </c>
      <c r="F77" s="68">
        <f>[2]!s_stm07_is($C$6,"W63091148",F6,1,1000000)</f>
        <v>-707</v>
      </c>
      <c r="G77" s="68">
        <f>[2]!s_stm07_is($C$6,"W63091148",G6,1,1000000)</f>
        <v>-1720</v>
      </c>
      <c r="H77" s="68">
        <f>[2]!s_stm07_is($C$6,"W63091148",H6,1,1000000)</f>
        <v>-2953</v>
      </c>
      <c r="I77" s="68">
        <f>[2]!s_stm07_is($C$6,"W63091148",I6,1,1000000)</f>
        <v>-6881</v>
      </c>
      <c r="J77" s="68">
        <f>[2]!s_stm07_is($C$6,"W63091148",J6,1,1000000)</f>
        <v>-3818</v>
      </c>
      <c r="K77" s="68">
        <f>[2]!s_stm07_is($C$6,"W63091148",K6,1,1000000)</f>
        <v>-2832</v>
      </c>
      <c r="L77" s="68">
        <f>[2]!s_stm07_is($C$6,"W63091148",L6,1,1000000)</f>
        <v>-1776</v>
      </c>
      <c r="M77" s="68">
        <f>[2]!s_stm07_is($C$6,"W63091148",M6,1,1000000)</f>
        <v>-851</v>
      </c>
      <c r="N77" s="68">
        <f>[2]!s_stm07_is($C$6,"W63091148",N6,1,1000000)</f>
        <v>392</v>
      </c>
      <c r="O77" s="68">
        <f>[2]!s_stm07_is($C$6,"W63091148",O6,1,1000000)</f>
        <v>-366</v>
      </c>
      <c r="P77" s="68">
        <f>[2]!s_stm07_is($C$6,"W63091148",P6,1,1000000)</f>
        <v>-1027</v>
      </c>
      <c r="Q77" s="68">
        <f>[2]!s_stm07_is($C$6,"W63091148",Q6,1,1000000)</f>
        <v>-1246</v>
      </c>
      <c r="R77" s="68">
        <f>[2]!s_stm07_is($C$6,"W63091148",R6,1,1000000)</f>
        <v>-169</v>
      </c>
      <c r="S77" s="68">
        <f>[2]!s_stm07_is($C$6,"W63091148",S6,1,1000000)</f>
        <v>119</v>
      </c>
      <c r="T77" s="68">
        <f>[2]!s_stm07_is($C$6,"W63091148",T6,1,1000000)</f>
        <v>445</v>
      </c>
      <c r="U77" s="68">
        <f>[2]!s_stm07_is($C$6,"W63091148",U6,1,1000000)</f>
        <v>735</v>
      </c>
      <c r="V77" s="68">
        <f>[2]!s_stm07_is($C$6,"W63091148",V6,1,1000000)</f>
        <v>1300</v>
      </c>
      <c r="W77" s="68">
        <f>[2]!s_stm07_is($C$6,"W63091148",W6,1,1000000)</f>
        <v>849</v>
      </c>
      <c r="X77" s="68">
        <f>[2]!s_stm07_is($C$6,"W63091148",X6,1,1000000)</f>
        <v>587</v>
      </c>
      <c r="Y77" s="68">
        <f>[2]!s_stm07_is($C$6,"W63091148",Y6,1,1000000)</f>
        <v>1400</v>
      </c>
      <c r="Z77" s="68">
        <f>[2]!s_stm07_is($C$6,"W63091148",Z6,1,1000000)</f>
        <v>1508</v>
      </c>
      <c r="AA77" s="68">
        <f>[2]!s_stm07_is($C$6,"W63091148",AA6,1,1000000)</f>
        <v>3624</v>
      </c>
      <c r="AB77" s="68">
        <f>[2]!s_stm07_is($C$6,"W63091148",AB6,1,1000000)</f>
        <v>3173</v>
      </c>
      <c r="AC77" s="68">
        <f>[2]!s_stm07_is($C$6,"W63091148",AC6,1,1000000)</f>
        <v>4095</v>
      </c>
      <c r="AD77" s="68">
        <f>[2]!s_stm07_is($C$6,"W63091148",AD6,1,1000000)</f>
        <v>1666</v>
      </c>
      <c r="AE77" s="68">
        <f>[2]!s_stm07_is($C$6,"W63091148",AE6,1,1000000)</f>
        <v>4569</v>
      </c>
      <c r="AF77" s="68">
        <f>[2]!s_stm07_is($C$6,"W63091148",AF6,1,1000000)</f>
        <v>4522</v>
      </c>
      <c r="AG77" s="68">
        <f>[2]!s_stm07_is($C$6,"W63091148",AG6,1,1000000)</f>
        <v>6593</v>
      </c>
      <c r="AH77" s="68">
        <f>[2]!s_stm07_is($C$6,"W63091148",AH6,1,1000000)</f>
        <v>2548</v>
      </c>
      <c r="AI77" s="68">
        <f>[2]!s_stm07_is($C$6,"W63091148",AI6,1,1000000)</f>
        <v>3270</v>
      </c>
      <c r="AJ77" s="68">
        <f>[2]!s_stm07_is($C$6,"W63091148",AJ6,1,1000000)</f>
        <v>2754</v>
      </c>
      <c r="AK77" s="68">
        <f>[2]!s_stm07_is($C$6,"W63091148",AK6,1,1000000)</f>
        <v>3673</v>
      </c>
      <c r="AL77" s="68">
        <f>[2]!s_stm07_is($C$6,"W63091148",AL6,1,1000000)</f>
        <v>765</v>
      </c>
      <c r="AM77" s="68">
        <f>[2]!s_stm07_is($C$6,"W63091148",AM6,1,1000000)</f>
        <v>1404</v>
      </c>
      <c r="AN77" s="68">
        <f>[2]!s_stm07_is($C$6,"W63091148",AN6,1,1000000)</f>
        <v>1639</v>
      </c>
      <c r="AO77" s="68">
        <f>[2]!s_stm07_is($C$6,"W63091148",AO6,1,1000000)</f>
        <v>1894</v>
      </c>
      <c r="AP77" s="68">
        <f>[2]!s_stm07_is($C$6,"W63091148",AP6,1,1000000)</f>
        <v>1163</v>
      </c>
      <c r="AQ77" s="68">
        <f>[2]!s_stm07_is($C$6,"W63091148",AQ6,1,1000000)</f>
        <v>2242</v>
      </c>
      <c r="AR77" s="68">
        <f>[2]!s_stm07_is($C$6,"W63091148",AR6,1,1000000)</f>
        <v>2515</v>
      </c>
      <c r="AS77" s="68">
        <f>[2]!s_stm07_is($C$6,"W63091148",AS6,1,1000000)</f>
        <v>3204</v>
      </c>
      <c r="AT77" s="68">
        <f>[2]!s_stm07_is($C$6,"W63091148",AT6,1,1000000)</f>
        <v>1095</v>
      </c>
    </row>
    <row r="78" spans="2:46" ht="13.15" x14ac:dyDescent="0.35">
      <c r="C78" s="27" t="s">
        <v>104</v>
      </c>
      <c r="E78" s="68">
        <f>[2]!s_stm07_is($C$6,"W66065632",E6,1,1000000)</f>
        <v>43</v>
      </c>
      <c r="F78" s="68">
        <f>[2]!s_stm07_is($C$6,"W66065632",F6,1,1000000)</f>
        <v>455</v>
      </c>
      <c r="G78" s="68">
        <f>[2]!s_stm07_is($C$6,"W66065632",G6,1,1000000)</f>
        <v>850</v>
      </c>
      <c r="H78" s="68">
        <f>[2]!s_stm07_is($C$6,"W66065632",H6,1,1000000)</f>
        <v>1310</v>
      </c>
      <c r="I78" s="68">
        <f>[2]!s_stm07_is($C$6,"W66065632",I6,1,1000000)</f>
        <v>2040</v>
      </c>
      <c r="J78" s="68">
        <f>[2]!s_stm07_is($C$6,"W66065632",J6,1,1000000)</f>
        <v>1111</v>
      </c>
      <c r="K78" s="68">
        <f>[2]!s_stm07_is($C$6,"W66065632",K6,1,1000000)</f>
        <v>1427</v>
      </c>
      <c r="L78" s="68">
        <f>[2]!s_stm07_is($C$6,"W66065632",L6,1,1000000)</f>
        <v>1968</v>
      </c>
      <c r="M78" s="68">
        <f>[2]!s_stm07_is($C$6,"W66065632",M6,1,1000000)</f>
        <v>3348</v>
      </c>
      <c r="N78" s="68">
        <f>[2]!s_stm07_is($C$6,"W66065632",N6,1,1000000)</f>
        <v>986</v>
      </c>
      <c r="O78" s="68">
        <f>[2]!s_stm07_is($C$6,"W66065632",O6,1,1000000)</f>
        <v>4523</v>
      </c>
      <c r="P78" s="68">
        <f>[2]!s_stm07_is($C$6,"W66065632",P6,1,1000000)</f>
        <v>8426</v>
      </c>
      <c r="Q78" s="68">
        <f>[2]!s_stm07_is($C$6,"W66065632",Q6,1,1000000)</f>
        <v>9904</v>
      </c>
      <c r="R78" s="68">
        <f>[2]!s_stm07_is($C$6,"W66065632",R6,1,1000000)</f>
        <v>696</v>
      </c>
      <c r="S78" s="68">
        <f>[2]!s_stm07_is($C$6,"W66065632",S6,1,1000000)</f>
        <v>1481</v>
      </c>
      <c r="T78" s="68">
        <f>[2]!s_stm07_is($C$6,"W66065632",T6,1,1000000)</f>
        <v>2245</v>
      </c>
      <c r="U78" s="68">
        <f>[2]!s_stm07_is($C$6,"W66065632",U6,1,1000000)</f>
        <v>3275</v>
      </c>
      <c r="V78" s="68">
        <f>[2]!s_stm07_is($C$6,"W66065632",V6,1,1000000)</f>
        <v>1218</v>
      </c>
      <c r="W78" s="68">
        <f>[2]!s_stm07_is($C$6,"W66065632",W6,1,1000000)</f>
        <v>3365</v>
      </c>
      <c r="X78" s="68">
        <f>[2]!s_stm07_is($C$6,"W66065632",X6,1,1000000)</f>
        <v>5770</v>
      </c>
      <c r="Y78" s="68">
        <f>[2]!s_stm07_is($C$6,"W66065632",Y6,1,1000000)</f>
        <v>8337</v>
      </c>
      <c r="Z78" s="68">
        <f>[2]!s_stm07_is($C$6,"W66065632",Z6,1,1000000)</f>
        <v>1728</v>
      </c>
      <c r="AA78" s="68">
        <f>[2]!s_stm07_is($C$6,"W66065632",AA6,1,1000000)</f>
        <v>2799</v>
      </c>
      <c r="AB78" s="68">
        <f>[2]!s_stm07_is($C$6,"W66065632",AB6,1,1000000)</f>
        <v>3842</v>
      </c>
      <c r="AC78" s="68">
        <f>[2]!s_stm07_is($C$6,"W66065632",AC6,1,1000000)</f>
        <v>4707</v>
      </c>
      <c r="AD78" s="68">
        <f>[2]!s_stm07_is($C$6,"W66065632",AD6,1,1000000)</f>
        <v>1211</v>
      </c>
      <c r="AE78" s="68">
        <f>[2]!s_stm07_is($C$6,"W66065632",AE6,1,1000000)</f>
        <v>2816</v>
      </c>
      <c r="AF78" s="68">
        <f>[2]!s_stm07_is($C$6,"W66065632",AF6,1,1000000)</f>
        <v>3775</v>
      </c>
      <c r="AG78" s="68">
        <f>[2]!s_stm07_is($C$6,"W66065632",AG6,1,1000000)</f>
        <v>3078</v>
      </c>
      <c r="AH78" s="68">
        <f>[2]!s_stm07_is($C$6,"W66065632",AH6,1,1000000)</f>
        <v>431</v>
      </c>
      <c r="AI78" s="68">
        <f>[2]!s_stm07_is($C$6,"W66065632",AI6,1,1000000)</f>
        <v>1827</v>
      </c>
      <c r="AJ78" s="68">
        <f>[2]!s_stm07_is($C$6,"W66065632",AJ6,1,1000000)</f>
        <v>3067</v>
      </c>
      <c r="AK78" s="68">
        <f>[2]!s_stm07_is($C$6,"W66065632",AK6,1,1000000)</f>
        <v>4920</v>
      </c>
      <c r="AL78" s="68">
        <f>[2]!s_stm07_is($C$6,"W66065632",AL6,1,1000000)</f>
        <v>3666</v>
      </c>
      <c r="AM78" s="68">
        <f>[2]!s_stm07_is($C$6,"W66065632",AM6,1,1000000)</f>
        <v>6080</v>
      </c>
      <c r="AN78" s="68">
        <f>[2]!s_stm07_is($C$6,"W66065632",AN6,1,1000000)</f>
        <v>7570</v>
      </c>
      <c r="AO78" s="68">
        <f>[2]!s_stm07_is($C$6,"W66065632",AO6,1,1000000)</f>
        <v>10409</v>
      </c>
      <c r="AP78" s="68">
        <f>[2]!s_stm07_is($C$6,"W66065632",AP6,1,1000000)</f>
        <v>1998</v>
      </c>
      <c r="AQ78" s="68">
        <f>[2]!s_stm07_is($C$6,"W66065632",AQ6,1,1000000)</f>
        <v>4114</v>
      </c>
      <c r="AR78" s="68">
        <f>[2]!s_stm07_is($C$6,"W66065632",AR6,1,1000000)</f>
        <v>6565</v>
      </c>
      <c r="AS78" s="68">
        <f>[2]!s_stm07_is($C$6,"W66065632",AS6,1,1000000)</f>
        <v>10020</v>
      </c>
      <c r="AT78" s="68">
        <f>[2]!s_stm07_is($C$6,"W66065632",AT6,1,1000000)</f>
        <v>1899</v>
      </c>
    </row>
    <row r="79" spans="2:46" ht="13.15" thickBot="1" x14ac:dyDescent="0.4">
      <c r="C79" s="70" t="s">
        <v>105</v>
      </c>
      <c r="E79" s="71">
        <v>0</v>
      </c>
      <c r="F79" s="71"/>
      <c r="G79" s="71"/>
      <c r="H79" s="71"/>
      <c r="I79" s="71"/>
      <c r="J79" s="71"/>
      <c r="K79" s="71"/>
      <c r="L79" s="71"/>
      <c r="M79" s="72">
        <f>[2]!s_stm07_is_85($C$6,M6,1,1000000)</f>
        <v>293</v>
      </c>
      <c r="N79" s="72">
        <f>[2]!s_stm07_is_85($C$6,N6,1,1000000)</f>
        <v>121</v>
      </c>
      <c r="O79" s="72">
        <f>[2]!s_stm07_is_85($C$6,O6,1,1000000)</f>
        <v>33</v>
      </c>
      <c r="P79" s="72">
        <f>[2]!s_stm07_is_85($C$6,P6,1,1000000)</f>
        <v>20</v>
      </c>
      <c r="Q79" s="72">
        <f>[2]!s_stm07_is_85($C$6,Q6,1,1000000)</f>
        <v>-71</v>
      </c>
      <c r="R79" s="72">
        <f>[2]!s_stm07_is_85($C$6,R6,1,1000000)</f>
        <v>-29</v>
      </c>
      <c r="S79" s="72">
        <f>[2]!s_stm07_is_85($C$6,S6,1,1000000)</f>
        <v>-45</v>
      </c>
      <c r="T79" s="72">
        <f>[2]!s_stm07_is_85($C$6,T6,1,1000000)</f>
        <v>-404</v>
      </c>
      <c r="U79" s="72">
        <f>[2]!s_stm07_is_85($C$6,U6,1,1000000)</f>
        <v>114</v>
      </c>
      <c r="V79" s="72">
        <f>[2]!s_stm07_is_85($C$6,V6,1,1000000)</f>
        <v>79</v>
      </c>
      <c r="W79" s="72">
        <f>[2]!s_stm07_is_85($C$6,W6,1,1000000)</f>
        <v>387</v>
      </c>
      <c r="X79" s="72">
        <f>[2]!s_stm07_is_85($C$6,X6,1,1000000)</f>
        <v>768</v>
      </c>
      <c r="Y79" s="72">
        <f>[2]!s_stm07_is_85($C$6,Y6,1,1000000)</f>
        <v>1374</v>
      </c>
      <c r="Z79" s="72">
        <f>[2]!s_stm07_is_85($C$6,Z6,1,1000000)</f>
        <v>348</v>
      </c>
      <c r="AA79" s="72">
        <f>[2]!s_stm07_is_85($C$6,AA6,1,1000000)</f>
        <v>456</v>
      </c>
      <c r="AB79" s="72">
        <f>[2]!s_stm07_is_85($C$6,AB6,1,1000000)</f>
        <v>3969</v>
      </c>
      <c r="AC79" s="72">
        <f>[2]!s_stm07_is_85($C$6,AC6,1,1000000)</f>
        <v>4622</v>
      </c>
      <c r="AD79" s="72">
        <f>[2]!s_stm07_is_85($C$6,AD6,1,1000000)</f>
        <v>3289</v>
      </c>
      <c r="AE79" s="72">
        <f>[2]!s_stm07_is_85($C$6,AE6,1,1000000)</f>
        <v>8214</v>
      </c>
      <c r="AF79" s="72">
        <f>[2]!s_stm07_is_85($C$6,AF6,1,1000000)</f>
        <v>11282</v>
      </c>
      <c r="AG79" s="72">
        <f>[2]!s_stm07_is_85($C$6,AG6,1,1000000)</f>
        <v>14456</v>
      </c>
      <c r="AH79" s="72">
        <f>[2]!s_stm07_is_85($C$6,AH6,1,1000000)</f>
        <v>5081</v>
      </c>
      <c r="AI79" s="72">
        <f>[2]!s_stm07_is_85($C$6,AI6,1,1000000)</f>
        <v>11291</v>
      </c>
      <c r="AJ79" s="72">
        <f>[2]!s_stm07_is_85($C$6,AJ6,1,1000000)</f>
        <v>18532</v>
      </c>
      <c r="AK79" s="72">
        <f>[2]!s_stm07_is_85($C$6,AK6,1,1000000)</f>
        <v>23600</v>
      </c>
      <c r="AL79" s="72">
        <f>[2]!s_stm07_is_85($C$6,AL6,1,1000000)</f>
        <v>15535</v>
      </c>
      <c r="AM79" s="72">
        <f>[2]!s_stm07_is_85($C$6,AM6,1,1000000)</f>
        <v>19665</v>
      </c>
      <c r="AN79" s="72">
        <f>[2]!s_stm07_is_85($C$6,AN6,1,1000000)</f>
        <v>22208</v>
      </c>
      <c r="AO79" s="72">
        <f>[2]!s_stm07_is_85($C$6,AO6,1,1000000)</f>
        <v>31290</v>
      </c>
      <c r="AP79" s="72">
        <f>[2]!s_stm07_is_85($C$6,AP6,1,1000000)</f>
        <v>26405</v>
      </c>
      <c r="AQ79" s="72">
        <f>[2]!s_stm07_is_85($C$6,AQ6,1,1000000)</f>
        <v>32153</v>
      </c>
      <c r="AR79" s="72">
        <f>[2]!s_stm07_is_85($C$6,AR6,1,1000000)</f>
        <v>38981</v>
      </c>
      <c r="AS79" s="72">
        <f>[2]!s_stm07_is_85($C$6,AS6,1,1000000)</f>
        <v>41680</v>
      </c>
      <c r="AT79" s="72">
        <f>[2]!s_stm07_is_85($C$6,AT6,1,1000000)</f>
        <v>23703</v>
      </c>
    </row>
    <row r="80" spans="2:46" ht="13.15" thickBot="1" x14ac:dyDescent="0.4"/>
    <row r="81" spans="3:48" ht="13.15" x14ac:dyDescent="0.4">
      <c r="C81" s="61" t="s">
        <v>106</v>
      </c>
      <c r="E81" s="62">
        <f>SUM(E82:E85)</f>
        <v>-108077</v>
      </c>
      <c r="F81" s="62">
        <f t="shared" ref="F81:AS81" si="14">SUM(F82:F85)</f>
        <v>-26737</v>
      </c>
      <c r="G81" s="62">
        <f t="shared" si="14"/>
        <v>-58915</v>
      </c>
      <c r="H81" s="62">
        <f t="shared" si="14"/>
        <v>-91692</v>
      </c>
      <c r="I81" s="62">
        <f t="shared" si="14"/>
        <v>-140972</v>
      </c>
      <c r="J81" s="62">
        <f t="shared" si="14"/>
        <v>-32331</v>
      </c>
      <c r="K81" s="62">
        <f t="shared" si="14"/>
        <v>-71455</v>
      </c>
      <c r="L81" s="62">
        <f t="shared" si="14"/>
        <v>-112212</v>
      </c>
      <c r="M81" s="62">
        <f t="shared" si="14"/>
        <v>-166227</v>
      </c>
      <c r="N81" s="62">
        <f t="shared" si="14"/>
        <v>-27409</v>
      </c>
      <c r="O81" s="62">
        <f t="shared" si="14"/>
        <v>-63286</v>
      </c>
      <c r="P81" s="62">
        <f t="shared" si="14"/>
        <v>-98547</v>
      </c>
      <c r="Q81" s="62">
        <f t="shared" si="14"/>
        <v>-143460</v>
      </c>
      <c r="R81" s="62">
        <f t="shared" si="14"/>
        <v>-33421</v>
      </c>
      <c r="S81" s="62">
        <f t="shared" si="14"/>
        <v>-71424</v>
      </c>
      <c r="T81" s="62">
        <f t="shared" si="14"/>
        <v>-112917</v>
      </c>
      <c r="U81" s="62">
        <f t="shared" si="14"/>
        <v>-166334</v>
      </c>
      <c r="V81" s="62">
        <f t="shared" si="14"/>
        <v>-44235</v>
      </c>
      <c r="W81" s="62">
        <f t="shared" si="14"/>
        <v>-91185</v>
      </c>
      <c r="X81" s="62">
        <f t="shared" si="14"/>
        <v>-140485</v>
      </c>
      <c r="Y81" s="62">
        <f t="shared" si="14"/>
        <v>-204214</v>
      </c>
      <c r="Z81" s="62">
        <f t="shared" si="14"/>
        <v>-51416</v>
      </c>
      <c r="AA81" s="62">
        <f t="shared" si="14"/>
        <v>-105828</v>
      </c>
      <c r="AB81" s="62">
        <f t="shared" si="14"/>
        <v>-162423</v>
      </c>
      <c r="AC81" s="62">
        <f t="shared" si="14"/>
        <v>-229487</v>
      </c>
      <c r="AD81" s="62">
        <f t="shared" si="14"/>
        <v>-59525</v>
      </c>
      <c r="AE81" s="62">
        <f t="shared" si="14"/>
        <v>-120214</v>
      </c>
      <c r="AF81" s="62">
        <f t="shared" si="14"/>
        <v>-177880</v>
      </c>
      <c r="AG81" s="62">
        <f t="shared" si="14"/>
        <v>-252591</v>
      </c>
      <c r="AH81" s="62">
        <f t="shared" si="14"/>
        <v>-67273</v>
      </c>
      <c r="AI81" s="62">
        <f t="shared" si="14"/>
        <v>-134919</v>
      </c>
      <c r="AJ81" s="62">
        <f t="shared" si="14"/>
        <v>-201084</v>
      </c>
      <c r="AK81" s="62">
        <f t="shared" si="14"/>
        <v>-299280</v>
      </c>
      <c r="AL81" s="62">
        <f t="shared" si="14"/>
        <v>-84775</v>
      </c>
      <c r="AM81" s="62">
        <f t="shared" si="14"/>
        <v>-162893</v>
      </c>
      <c r="AN81" s="62">
        <f t="shared" si="14"/>
        <v>-235754</v>
      </c>
      <c r="AO81" s="62">
        <f t="shared" si="14"/>
        <v>-338112</v>
      </c>
      <c r="AP81" s="62">
        <f t="shared" si="14"/>
        <v>-96367</v>
      </c>
      <c r="AQ81" s="62">
        <f t="shared" si="14"/>
        <v>-163563</v>
      </c>
      <c r="AR81" s="62">
        <f t="shared" si="14"/>
        <v>-229244</v>
      </c>
      <c r="AS81" s="62">
        <f t="shared" si="14"/>
        <v>-315576</v>
      </c>
      <c r="AT81" s="62">
        <f>SUM(AT82:AT85)</f>
        <v>-91122</v>
      </c>
    </row>
    <row r="82" spans="3:48" ht="13.15" x14ac:dyDescent="0.35">
      <c r="C82" s="17" t="s">
        <v>107</v>
      </c>
      <c r="E82" s="73">
        <f>0-[2]!s_stm07_is($C$6,"W61922150",E6,1,1000000)</f>
        <v>-11419</v>
      </c>
      <c r="F82" s="73">
        <f>0-[2]!s_stm07_is($C$6,"W61922150",F6,1,1000000)</f>
        <v>-3087</v>
      </c>
      <c r="G82" s="73">
        <f>0-[2]!s_stm07_is($C$6,"W61922150",G6,1,1000000)</f>
        <v>-6638</v>
      </c>
      <c r="H82" s="73">
        <f>0-[2]!s_stm07_is($C$6,"W61922150",H6,1,1000000)</f>
        <v>-10390</v>
      </c>
      <c r="I82" s="73">
        <f>0-[2]!s_stm07_is($C$6,"W61922150",I6,1,1000000)</f>
        <v>-14511</v>
      </c>
      <c r="J82" s="73">
        <f>0-[2]!s_stm07_is($C$6,"W61922150",J6,1,1000000)</f>
        <v>-4506</v>
      </c>
      <c r="K82" s="73">
        <f>0-[2]!s_stm07_is($C$6,"W61922150",K6,1,1000000)</f>
        <v>-9094</v>
      </c>
      <c r="L82" s="73">
        <f>0-[2]!s_stm07_is($C$6,"W61922150",L6,1,1000000)</f>
        <v>-13855</v>
      </c>
      <c r="M82" s="73">
        <f>0-[2]!s_stm07_is($C$6,"W61922150",M6,1,1000000)</f>
        <v>-18765</v>
      </c>
      <c r="N82" s="73">
        <f>0-[2]!s_stm07_is($C$6,"W61922150",N6,1,1000000)</f>
        <v>-4420</v>
      </c>
      <c r="O82" s="73">
        <f>0-[2]!s_stm07_is($C$6,"W61922150",O6,1,1000000)</f>
        <v>-8850</v>
      </c>
      <c r="P82" s="73">
        <f>0-[2]!s_stm07_is($C$6,"W61922150",P6,1,1000000)</f>
        <v>-13364</v>
      </c>
      <c r="Q82" s="73">
        <f>0-[2]!s_stm07_is($C$6,"W61922150",Q6,1,1000000)</f>
        <v>-18157</v>
      </c>
      <c r="R82" s="73">
        <f>0-[2]!s_stm07_is($C$6,"W61922150",R6,1,1000000)</f>
        <v>-5119</v>
      </c>
      <c r="S82" s="73">
        <f>0-[2]!s_stm07_is($C$6,"W61922150",S6,1,1000000)</f>
        <v>-10350</v>
      </c>
      <c r="T82" s="73">
        <f>0-[2]!s_stm07_is($C$6,"W61922150",T6,1,1000000)</f>
        <v>-15752</v>
      </c>
      <c r="U82" s="73">
        <f>0-[2]!s_stm07_is($C$6,"W61922150",U6,1,1000000)</f>
        <v>-21484</v>
      </c>
      <c r="V82" s="73">
        <f>0-[2]!s_stm07_is($C$6,"W61922150",V6,1,1000000)</f>
        <v>-6493</v>
      </c>
      <c r="W82" s="73">
        <f>0-[2]!s_stm07_is($C$6,"W61922150",W6,1,1000000)</f>
        <v>-13574</v>
      </c>
      <c r="X82" s="73">
        <f>0-[2]!s_stm07_is($C$6,"W61922150",X6,1,1000000)</f>
        <v>-20963</v>
      </c>
      <c r="Y82" s="73">
        <f>0-[2]!s_stm07_is($C$6,"W61922150",Y6,1,1000000)</f>
        <v>-28875</v>
      </c>
      <c r="Z82" s="73">
        <f>0-[2]!s_stm07_is($C$6,"W61922150",Z6,1,1000000)</f>
        <v>-8698</v>
      </c>
      <c r="AA82" s="73">
        <f>0-[2]!s_stm07_is($C$6,"W61922150",AA6,1,1000000)</f>
        <v>-17327</v>
      </c>
      <c r="AB82" s="73">
        <f>0-[2]!s_stm07_is($C$6,"W61922150",AB6,1,1000000)</f>
        <v>-26092</v>
      </c>
      <c r="AC82" s="73">
        <f>0-[2]!s_stm07_is($C$6,"W61922150",AC6,1,1000000)</f>
        <v>-35066</v>
      </c>
      <c r="AD82" s="73">
        <f>0-[2]!s_stm07_is($C$6,"W61922150",AD6,1,1000000)</f>
        <v>-9232</v>
      </c>
      <c r="AE82" s="73">
        <f>0-[2]!s_stm07_is($C$6,"W61922150",AE6,1,1000000)</f>
        <v>-18613</v>
      </c>
      <c r="AF82" s="73">
        <f>0-[2]!s_stm07_is($C$6,"W61922150",AF6,1,1000000)</f>
        <v>-27928</v>
      </c>
      <c r="AG82" s="73">
        <f>0-[2]!s_stm07_is($C$6,"W61922150",AG6,1,1000000)</f>
        <v>-37441</v>
      </c>
      <c r="AH82" s="73">
        <f>0-[2]!s_stm07_is($C$6,"W61922150",AH6,1,1000000)</f>
        <v>-10190</v>
      </c>
      <c r="AI82" s="73">
        <f>0-[2]!s_stm07_is($C$6,"W61922150",AI6,1,1000000)</f>
        <v>-20493</v>
      </c>
      <c r="AJ82" s="73">
        <f>0-[2]!s_stm07_is($C$6,"W61922150",AJ6,1,1000000)</f>
        <v>-30750</v>
      </c>
      <c r="AK82" s="73">
        <f>0-[2]!s_stm07_is($C$6,"W61922150",AK6,1,1000000)</f>
        <v>-41351</v>
      </c>
      <c r="AL82" s="73">
        <f>0-[2]!s_stm07_is($C$6,"W61922150",AL6,1,1000000)</f>
        <v>-10780</v>
      </c>
      <c r="AM82" s="73">
        <f>0-[2]!s_stm07_is($C$6,"W61922150",AM6,1,1000000)</f>
        <v>-21667</v>
      </c>
      <c r="AN82" s="73">
        <f>0-[2]!s_stm07_is($C$6,"W61922150",AN6,1,1000000)</f>
        <v>-32266</v>
      </c>
      <c r="AO82" s="73">
        <f>0-[2]!s_stm07_is($C$6,"W61922150",AO6,1,1000000)</f>
        <v>-42320</v>
      </c>
      <c r="AP82" s="73">
        <f>0-[2]!s_stm07_is($C$6,"W61922150",AP6,1,1000000)</f>
        <v>-10176</v>
      </c>
      <c r="AQ82" s="73">
        <f>0-[2]!s_stm07_is($C$6,"W61922150",AQ6,1,1000000)</f>
        <v>-13467</v>
      </c>
      <c r="AR82" s="73">
        <f>0-[2]!s_stm07_is($C$6,"W61922150",AR6,1,1000000)</f>
        <v>-14598</v>
      </c>
      <c r="AS82" s="73">
        <f>0-[2]!s_stm07_is($C$6,"W61922150",AS6,1,1000000)</f>
        <v>-17319</v>
      </c>
      <c r="AT82" s="73">
        <f>0-[2]!s_stm07_is($C$6,"W61922150",AT6,1,1000000)</f>
        <v>-1839</v>
      </c>
      <c r="AU82" s="27" t="s">
        <v>108</v>
      </c>
    </row>
    <row r="83" spans="3:48" x14ac:dyDescent="0.35">
      <c r="C83" s="17" t="s">
        <v>109</v>
      </c>
      <c r="E83" s="74">
        <f>0-[2]!s_stm07_is($C$6,"W66107451",E6,1,1000000)</f>
        <v>-64469</v>
      </c>
      <c r="F83" s="74">
        <f>0-[2]!s_stm07_is($C$6,"W66107451",F6,1,1000000)</f>
        <v>-16295</v>
      </c>
      <c r="G83" s="74">
        <f>0-[2]!s_stm07_is($C$6,"W66107451",G6,1,1000000)</f>
        <v>-36116</v>
      </c>
      <c r="H83" s="74">
        <f>0-[2]!s_stm07_is($C$6,"W66107451",H6,1,1000000)</f>
        <v>-56945</v>
      </c>
      <c r="I83" s="74">
        <f>0-[2]!s_stm07_is($C$6,"W66107451",I6,1,1000000)</f>
        <v>-87631</v>
      </c>
      <c r="J83" s="74">
        <f>0-[2]!s_stm07_is($C$6,"W66107451",J6,1,1000000)</f>
        <v>-19168</v>
      </c>
      <c r="K83" s="74">
        <f>0-[2]!s_stm07_is($C$6,"W66107451",K6,1,1000000)</f>
        <v>-43779</v>
      </c>
      <c r="L83" s="74">
        <f>0-[2]!s_stm07_is($C$6,"W66107451",L6,1,1000000)</f>
        <v>-64132</v>
      </c>
      <c r="M83" s="74">
        <f>0-[2]!s_stm07_is($C$6,"W66107451",M6,1,1000000)</f>
        <v>-91506</v>
      </c>
      <c r="N83" s="74">
        <f>0-[2]!s_stm07_is($C$6,"W66107451",N6,1,1000000)</f>
        <v>-18680</v>
      </c>
      <c r="O83" s="74">
        <f>0-[2]!s_stm07_is($C$6,"W66107451",O6,1,1000000)</f>
        <v>-44040</v>
      </c>
      <c r="P83" s="74">
        <f>0-[2]!s_stm07_is($C$6,"W66107451",P6,1,1000000)</f>
        <v>-70082</v>
      </c>
      <c r="Q83" s="74">
        <f>0-[2]!s_stm07_is($C$6,"W66107451",Q6,1,1000000)</f>
        <v>-101703</v>
      </c>
      <c r="R83" s="74">
        <f>0-[2]!s_stm07_is($C$6,"W66107451",R6,1,1000000)</f>
        <v>-24298</v>
      </c>
      <c r="S83" s="74">
        <f>0-[2]!s_stm07_is($C$6,"W66107451",S6,1,1000000)</f>
        <v>-51214</v>
      </c>
      <c r="T83" s="74">
        <f>0-[2]!s_stm07_is($C$6,"W66107451",T6,1,1000000)</f>
        <v>-79131</v>
      </c>
      <c r="U83" s="74">
        <f>0-[2]!s_stm07_is($C$6,"W66107451",U6,1,1000000)</f>
        <v>-116578</v>
      </c>
      <c r="V83" s="74">
        <f>0-[2]!s_stm07_is($C$6,"W66107451",V6,1,1000000)</f>
        <v>-28709</v>
      </c>
      <c r="W83" s="74">
        <f>0-[2]!s_stm07_is($C$6,"W66107451",W6,1,1000000)</f>
        <v>-59383</v>
      </c>
      <c r="X83" s="74">
        <f>0-[2]!s_stm07_is($C$6,"W66107451",X6,1,1000000)</f>
        <v>-92176</v>
      </c>
      <c r="Y83" s="74">
        <f>0-[2]!s_stm07_is($C$6,"W66107451",Y6,1,1000000)</f>
        <v>-139598</v>
      </c>
      <c r="Z83" s="74">
        <f>0-[2]!s_stm07_is($C$6,"W66107451",Z6,1,1000000)</f>
        <v>-31913</v>
      </c>
      <c r="AA83" s="74">
        <f>0-[2]!s_stm07_is($C$6,"W66107451",AA6,1,1000000)</f>
        <v>-66889</v>
      </c>
      <c r="AB83" s="74">
        <f>0-[2]!s_stm07_is($C$6,"W66107451",AB6,1,1000000)</f>
        <v>-103575</v>
      </c>
      <c r="AC83" s="74">
        <f>0-[2]!s_stm07_is($C$6,"W66107451",AC6,1,1000000)</f>
        <v>-153336</v>
      </c>
      <c r="AD83" s="74">
        <f>0-[2]!s_stm07_is($C$6,"W66107451",AD6,1,1000000)</f>
        <v>-35402</v>
      </c>
      <c r="AE83" s="74">
        <f>0-[2]!s_stm07_is($C$6,"W66107451",AE6,1,1000000)</f>
        <v>-72698</v>
      </c>
      <c r="AF83" s="74">
        <f>0-[2]!s_stm07_is($C$6,"W66107451",AF6,1,1000000)</f>
        <v>-112117</v>
      </c>
      <c r="AG83" s="74">
        <f>0-[2]!s_stm07_is($C$6,"W66107451",AG6,1,1000000)</f>
        <v>-165280</v>
      </c>
      <c r="AH83" s="74">
        <f>0-[2]!s_stm07_is($C$6,"W66107451",AH6,1,1000000)</f>
        <v>-37528</v>
      </c>
      <c r="AI83" s="74">
        <f>0-[2]!s_stm07_is($C$6,"W66107451",AI6,1,1000000)</f>
        <v>-78674</v>
      </c>
      <c r="AJ83" s="74">
        <f>0-[2]!s_stm07_is($C$6,"W66107451",AJ6,1,1000000)</f>
        <v>-118873</v>
      </c>
      <c r="AK83" s="74">
        <f>0-[2]!s_stm07_is($C$6,"W66107451",AK6,1,1000000)</f>
        <v>-176261</v>
      </c>
      <c r="AL83" s="74">
        <f>0-[2]!s_stm07_is($C$6,"W66107451",AL6,1,1000000)</f>
        <v>-37973</v>
      </c>
      <c r="AM83" s="74">
        <f>0-[2]!s_stm07_is($C$6,"W66107451",AM6,1,1000000)</f>
        <v>-79550</v>
      </c>
      <c r="AN83" s="74">
        <f>0-[2]!s_stm07_is($C$6,"W66107451",AN6,1,1000000)</f>
        <v>-120815</v>
      </c>
      <c r="AO83" s="74">
        <f>0-[2]!s_stm07_is($C$6,"W66107451",AO6,1,1000000)</f>
        <v>-177823</v>
      </c>
      <c r="AP83" s="74">
        <f>0-[2]!s_stm07_is($C$6,"W66107451",AP6,1,1000000)</f>
        <v>-37646</v>
      </c>
      <c r="AQ83" s="74">
        <f>0-[2]!s_stm07_is($C$6,"W66107451",AQ6,1,1000000)</f>
        <v>-76938</v>
      </c>
      <c r="AR83" s="74">
        <f>0-[2]!s_stm07_is($C$6,"W66107451",AR6,1,1000000)</f>
        <v>-117223</v>
      </c>
      <c r="AS83" s="74">
        <f>0-[2]!s_stm07_is($C$6,"W66107451",AS6,1,1000000)</f>
        <v>-175156</v>
      </c>
      <c r="AT83" s="74">
        <f>0-[2]!s_stm07_is($C$6,"W66107451",AT6,1,1000000)</f>
        <v>-36608</v>
      </c>
    </row>
    <row r="84" spans="3:48" x14ac:dyDescent="0.35">
      <c r="C84" s="17" t="s">
        <v>110</v>
      </c>
      <c r="E84" s="74">
        <f>0-[2]!s_stm07_is($C$6,"W65284919",E6,1,1000000)</f>
        <v>-32189</v>
      </c>
      <c r="F84" s="74">
        <f>0-[2]!s_stm07_is($C$6,"W65284919",F6,1,1000000)</f>
        <v>-7355</v>
      </c>
      <c r="G84" s="74">
        <f>0-[2]!s_stm07_is($C$6,"W65284919",G6,1,1000000)</f>
        <v>-15401</v>
      </c>
      <c r="H84" s="74">
        <f>0-[2]!s_stm07_is($C$6,"W65284919",H6,1,1000000)</f>
        <v>-23226</v>
      </c>
      <c r="I84" s="74">
        <f>0-[2]!s_stm07_is($C$6,"W65284919",I6,1,1000000)</f>
        <v>-37406</v>
      </c>
      <c r="J84" s="74">
        <f>0-[2]!s_stm07_is($C$6,"W65284919",J6,1,1000000)</f>
        <v>-8473</v>
      </c>
      <c r="K84" s="74">
        <f>0-[2]!s_stm07_is($C$6,"W65284919",K6,1,1000000)</f>
        <v>-18315</v>
      </c>
      <c r="L84" s="74">
        <f>0-[2]!s_stm07_is($C$6,"W65284919",L6,1,1000000)</f>
        <v>-33892</v>
      </c>
      <c r="M84" s="74">
        <f>0-[2]!s_stm07_is($C$6,"W65284919",M6,1,1000000)</f>
        <v>-55528</v>
      </c>
      <c r="N84" s="74">
        <f>0-[2]!s_stm07_is($C$6,"W65284919",N6,1,1000000)</f>
        <v>-4203</v>
      </c>
      <c r="O84" s="74">
        <f>0-[2]!s_stm07_is($C$6,"W65284919",O6,1,1000000)</f>
        <v>-10212</v>
      </c>
      <c r="P84" s="74">
        <f>0-[2]!s_stm07_is($C$6,"W65284919",P6,1,1000000)</f>
        <v>-14783</v>
      </c>
      <c r="Q84" s="74">
        <f>0-[2]!s_stm07_is($C$6,"W65284919",Q6,1,1000000)</f>
        <v>-23219</v>
      </c>
      <c r="R84" s="74">
        <f>0-[2]!s_stm07_is($C$6,"W65284919",R6,1,1000000)</f>
        <v>-3916</v>
      </c>
      <c r="S84" s="74">
        <f>0-[2]!s_stm07_is($C$6,"W65284919",S6,1,1000000)</f>
        <v>-9693</v>
      </c>
      <c r="T84" s="74">
        <f>0-[2]!s_stm07_is($C$6,"W65284919",T6,1,1000000)</f>
        <v>-17820</v>
      </c>
      <c r="U84" s="74">
        <f>0-[2]!s_stm07_is($C$6,"W65284919",U6,1,1000000)</f>
        <v>-27988</v>
      </c>
      <c r="V84" s="74">
        <f>0-[2]!s_stm07_is($C$6,"W65284919",V6,1,1000000)</f>
        <v>-8654</v>
      </c>
      <c r="W84" s="74">
        <f>0-[2]!s_stm07_is($C$6,"W65284919",W6,1,1000000)</f>
        <v>-16881</v>
      </c>
      <c r="X84" s="74">
        <f>0-[2]!s_stm07_is($C$6,"W65284919",X6,1,1000000)</f>
        <v>-24383</v>
      </c>
      <c r="Y84" s="74">
        <f>0-[2]!s_stm07_is($C$6,"W65284919",Y6,1,1000000)</f>
        <v>-31121</v>
      </c>
      <c r="Z84" s="74">
        <f>0-[2]!s_stm07_is($C$6,"W65284919",Z6,1,1000000)</f>
        <v>-10148</v>
      </c>
      <c r="AA84" s="74">
        <f>0-[2]!s_stm07_is($C$6,"W65284919",AA6,1,1000000)</f>
        <v>-19237</v>
      </c>
      <c r="AB84" s="74">
        <f>0-[2]!s_stm07_is($C$6,"W65284919",AB6,1,1000000)</f>
        <v>-25459</v>
      </c>
      <c r="AC84" s="74">
        <f>0-[2]!s_stm07_is($C$6,"W65284919",AC6,1,1000000)</f>
        <v>-33745</v>
      </c>
      <c r="AD84" s="74">
        <f>0-[2]!s_stm07_is($C$6,"W65284919",AD6,1,1000000)</f>
        <v>-12152</v>
      </c>
      <c r="AE84" s="74">
        <f>0-[2]!s_stm07_is($C$6,"W65284919",AE6,1,1000000)</f>
        <v>-21941</v>
      </c>
      <c r="AF84" s="74">
        <f>0-[2]!s_stm07_is($C$6,"W65284919",AF6,1,1000000)</f>
        <v>-28620</v>
      </c>
      <c r="AG84" s="74">
        <f>0-[2]!s_stm07_is($C$6,"W65284919",AG6,1,1000000)</f>
        <v>-38321</v>
      </c>
      <c r="AH84" s="74">
        <f>0-[2]!s_stm07_is($C$6,"W65284919",AH6,1,1000000)</f>
        <v>-13776</v>
      </c>
      <c r="AI84" s="74">
        <f>0-[2]!s_stm07_is($C$6,"W65284919",AI6,1,1000000)</f>
        <v>-24167</v>
      </c>
      <c r="AJ84" s="74">
        <f>0-[2]!s_stm07_is($C$6,"W65284919",AJ6,1,1000000)</f>
        <v>-32456</v>
      </c>
      <c r="AK84" s="74">
        <f>0-[2]!s_stm07_is($C$6,"W65284919",AK6,1,1000000)</f>
        <v>-56729</v>
      </c>
      <c r="AL84" s="74">
        <f>0-[2]!s_stm07_is($C$6,"W65284919",AL6,1,1000000)</f>
        <v>-20748</v>
      </c>
      <c r="AM84" s="74">
        <f>0-[2]!s_stm07_is($C$6,"W65284919",AM6,1,1000000)</f>
        <v>-41951</v>
      </c>
      <c r="AN84" s="74">
        <f>0-[2]!s_stm07_is($C$6,"W65284919",AN6,1,1000000)</f>
        <v>-61569</v>
      </c>
      <c r="AO84" s="74">
        <f>0-[2]!s_stm07_is($C$6,"W65284919",AO6,1,1000000)</f>
        <v>-86993</v>
      </c>
      <c r="AP84" s="74">
        <f>0-[2]!s_stm07_is($C$6,"W65284919",AP6,1,1000000)</f>
        <v>-23668</v>
      </c>
      <c r="AQ84" s="74">
        <f>0-[2]!s_stm07_is($C$6,"W65284919",AQ6,1,1000000)</f>
        <v>-44433</v>
      </c>
      <c r="AR84" s="74">
        <f>0-[2]!s_stm07_is($C$6,"W65284919",AR6,1,1000000)</f>
        <v>-63906</v>
      </c>
      <c r="AS84" s="74">
        <f>0-[2]!s_stm07_is($C$6,"W65284919",AS6,1,1000000)</f>
        <v>-87894</v>
      </c>
      <c r="AT84" s="74">
        <f>0-[2]!s_stm07_is($C$6,"W65284919",AT6,1,1000000)</f>
        <v>-31505</v>
      </c>
    </row>
    <row r="85" spans="3:48" ht="13.15" thickBot="1" x14ac:dyDescent="0.4">
      <c r="C85" s="70" t="s">
        <v>111</v>
      </c>
      <c r="E85" s="72">
        <f>0-[2]!s_stm07_is_86($C$6,E6,1,1000000)</f>
        <v>0</v>
      </c>
      <c r="F85" s="72">
        <f>0-[2]!s_stm07_is_86($C$6,F6,1,1000000)</f>
        <v>0</v>
      </c>
      <c r="G85" s="72">
        <f>0-[2]!s_stm07_is_86($C$6,G6,1,1000000)</f>
        <v>-760</v>
      </c>
      <c r="H85" s="72">
        <f>0-[2]!s_stm07_is_86($C$6,H6,1,1000000)</f>
        <v>-1131</v>
      </c>
      <c r="I85" s="72">
        <f>0-[2]!s_stm07_is_86($C$6,I6,1,1000000)</f>
        <v>-1424</v>
      </c>
      <c r="J85" s="72">
        <f>0-[2]!s_stm07_is_86($C$6,J6,1,1000000)</f>
        <v>-184</v>
      </c>
      <c r="K85" s="72">
        <f>0-[2]!s_stm07_is_86($C$6,K6,1,1000000)</f>
        <v>-267</v>
      </c>
      <c r="L85" s="72">
        <f>0-[2]!s_stm07_is_86($C$6,L6,1,1000000)</f>
        <v>-333</v>
      </c>
      <c r="M85" s="72">
        <f>0-[2]!s_stm07_is_86($C$6,M6,1,1000000)</f>
        <v>-428</v>
      </c>
      <c r="N85" s="72">
        <f>0-[2]!s_stm07_is_86($C$6,N6,1,1000000)</f>
        <v>-106</v>
      </c>
      <c r="O85" s="72">
        <f>0-[2]!s_stm07_is_86($C$6,O6,1,1000000)</f>
        <v>-184</v>
      </c>
      <c r="P85" s="72">
        <f>0-[2]!s_stm07_is_86($C$6,P6,1,1000000)</f>
        <v>-318</v>
      </c>
      <c r="Q85" s="72">
        <f>0-[2]!s_stm07_is_86($C$6,Q6,1,1000000)</f>
        <v>-381</v>
      </c>
      <c r="R85" s="72">
        <f>0-[2]!s_stm07_is_86($C$6,R6,1,1000000)</f>
        <v>-88</v>
      </c>
      <c r="S85" s="72">
        <f>0-[2]!s_stm07_is_86($C$6,S6,1,1000000)</f>
        <v>-167</v>
      </c>
      <c r="T85" s="72">
        <f>0-[2]!s_stm07_is_86($C$6,T6,1,1000000)</f>
        <v>-214</v>
      </c>
      <c r="U85" s="72">
        <f>0-[2]!s_stm07_is_86($C$6,U6,1,1000000)</f>
        <v>-284</v>
      </c>
      <c r="V85" s="72">
        <f>0-[2]!s_stm07_is_86($C$6,V6,1,1000000)</f>
        <v>-379</v>
      </c>
      <c r="W85" s="72">
        <f>0-[2]!s_stm07_is_86($C$6,W6,1,1000000)</f>
        <v>-1347</v>
      </c>
      <c r="X85" s="72">
        <f>0-[2]!s_stm07_is_86($C$6,X6,1,1000000)</f>
        <v>-2963</v>
      </c>
      <c r="Y85" s="72">
        <f>0-[2]!s_stm07_is_86($C$6,Y6,1,1000000)</f>
        <v>-4620</v>
      </c>
      <c r="Z85" s="72">
        <f>0-[2]!s_stm07_is_86($C$6,Z6,1,1000000)</f>
        <v>-657</v>
      </c>
      <c r="AA85" s="72">
        <f>0-[2]!s_stm07_is_86($C$6,AA6,1,1000000)</f>
        <v>-2375</v>
      </c>
      <c r="AB85" s="72">
        <f>0-[2]!s_stm07_is_86($C$6,AB6,1,1000000)</f>
        <v>-7297</v>
      </c>
      <c r="AC85" s="72">
        <f>0-[2]!s_stm07_is_86($C$6,AC6,1,1000000)</f>
        <v>-7340</v>
      </c>
      <c r="AD85" s="72">
        <f>0-[2]!s_stm07_is_86($C$6,AD6,1,1000000)</f>
        <v>-2739</v>
      </c>
      <c r="AE85" s="72">
        <f>0-[2]!s_stm07_is_86($C$6,AE6,1,1000000)</f>
        <v>-6962</v>
      </c>
      <c r="AF85" s="72">
        <f>0-[2]!s_stm07_is_86($C$6,AF6,1,1000000)</f>
        <v>-9215</v>
      </c>
      <c r="AG85" s="72">
        <f>0-[2]!s_stm07_is_86($C$6,AG6,1,1000000)</f>
        <v>-11549</v>
      </c>
      <c r="AH85" s="72">
        <f>0-[2]!s_stm07_is_86($C$6,AH6,1,1000000)</f>
        <v>-5779</v>
      </c>
      <c r="AI85" s="72">
        <f>0-[2]!s_stm07_is_86($C$6,AI6,1,1000000)</f>
        <v>-11585</v>
      </c>
      <c r="AJ85" s="72">
        <f>0-[2]!s_stm07_is_86($C$6,AJ6,1,1000000)</f>
        <v>-19005</v>
      </c>
      <c r="AK85" s="72">
        <f>0-[2]!s_stm07_is_86($C$6,AK6,1,1000000)</f>
        <v>-24939</v>
      </c>
      <c r="AL85" s="72">
        <f>0-[2]!s_stm07_is_86($C$6,AL6,1,1000000)</f>
        <v>-15274</v>
      </c>
      <c r="AM85" s="72">
        <f>0-[2]!s_stm07_is_86($C$6,AM6,1,1000000)</f>
        <v>-19725</v>
      </c>
      <c r="AN85" s="72">
        <f>0-[2]!s_stm07_is_86($C$6,AN6,1,1000000)</f>
        <v>-21104</v>
      </c>
      <c r="AO85" s="72">
        <f>0-[2]!s_stm07_is_86($C$6,AO6,1,1000000)</f>
        <v>-30976</v>
      </c>
      <c r="AP85" s="72">
        <f>0-[2]!s_stm07_is_86($C$6,AP6,1,1000000)</f>
        <v>-24877</v>
      </c>
      <c r="AQ85" s="72">
        <f>0-[2]!s_stm07_is_86($C$6,AQ6,1,1000000)</f>
        <v>-28725</v>
      </c>
      <c r="AR85" s="72">
        <f>0-[2]!s_stm07_is_86($C$6,AR6,1,1000000)</f>
        <v>-33517</v>
      </c>
      <c r="AS85" s="72">
        <f>0-[2]!s_stm07_is_86($C$6,AS6,1,1000000)</f>
        <v>-35207</v>
      </c>
      <c r="AT85" s="72">
        <f>0-[2]!s_stm07_is_86($C$6,AT6,1,1000000)</f>
        <v>-21170</v>
      </c>
    </row>
    <row r="86" spans="3:48" ht="13.15" thickBot="1" x14ac:dyDescent="0.4"/>
    <row r="87" spans="3:48" ht="13.15" x14ac:dyDescent="0.4">
      <c r="C87" s="61" t="s">
        <v>112</v>
      </c>
      <c r="E87" s="62">
        <f>E67+E81</f>
        <v>73380</v>
      </c>
      <c r="F87" s="62">
        <f t="shared" ref="F87:AS87" si="15">F67+F81</f>
        <v>27657</v>
      </c>
      <c r="G87" s="62">
        <f t="shared" si="15"/>
        <v>57400</v>
      </c>
      <c r="H87" s="62">
        <f t="shared" si="15"/>
        <v>90392</v>
      </c>
      <c r="I87" s="62">
        <f t="shared" si="15"/>
        <v>112908</v>
      </c>
      <c r="J87" s="62">
        <f t="shared" si="15"/>
        <v>43244</v>
      </c>
      <c r="K87" s="62">
        <f t="shared" si="15"/>
        <v>83192</v>
      </c>
      <c r="L87" s="62">
        <f t="shared" si="15"/>
        <v>119090</v>
      </c>
      <c r="M87" s="62">
        <f t="shared" si="15"/>
        <v>143531</v>
      </c>
      <c r="N87" s="62">
        <f t="shared" si="15"/>
        <v>45478</v>
      </c>
      <c r="O87" s="62">
        <f t="shared" si="15"/>
        <v>85066</v>
      </c>
      <c r="P87" s="62">
        <f t="shared" si="15"/>
        <v>128087</v>
      </c>
      <c r="Q87" s="62">
        <f t="shared" si="15"/>
        <v>165994</v>
      </c>
      <c r="R87" s="62">
        <f t="shared" si="15"/>
        <v>53917</v>
      </c>
      <c r="S87" s="62">
        <f t="shared" si="15"/>
        <v>110284</v>
      </c>
      <c r="T87" s="62">
        <f t="shared" si="15"/>
        <v>165773</v>
      </c>
      <c r="U87" s="62">
        <f t="shared" si="15"/>
        <v>214487</v>
      </c>
      <c r="V87" s="62">
        <f t="shared" si="15"/>
        <v>69582</v>
      </c>
      <c r="W87" s="62">
        <f t="shared" si="15"/>
        <v>141503</v>
      </c>
      <c r="X87" s="62">
        <f t="shared" si="15"/>
        <v>211244</v>
      </c>
      <c r="Y87" s="62">
        <f t="shared" si="15"/>
        <v>271000</v>
      </c>
      <c r="Z87" s="62">
        <f t="shared" si="15"/>
        <v>79601</v>
      </c>
      <c r="AA87" s="62">
        <f t="shared" si="15"/>
        <v>159658</v>
      </c>
      <c r="AB87" s="62">
        <f t="shared" si="15"/>
        <v>239050</v>
      </c>
      <c r="AC87" s="62">
        <f t="shared" si="15"/>
        <v>307458</v>
      </c>
      <c r="AD87" s="62">
        <f t="shared" si="15"/>
        <v>88235</v>
      </c>
      <c r="AE87" s="62">
        <f t="shared" si="15"/>
        <v>178393</v>
      </c>
      <c r="AF87" s="62">
        <f t="shared" si="15"/>
        <v>264037</v>
      </c>
      <c r="AG87" s="62">
        <f t="shared" si="15"/>
        <v>337046</v>
      </c>
      <c r="AH87" s="62">
        <f t="shared" si="15"/>
        <v>95360</v>
      </c>
      <c r="AI87" s="62">
        <f>AI67+AI81</f>
        <v>193506</v>
      </c>
      <c r="AJ87" s="62">
        <f t="shared" si="15"/>
        <v>287505</v>
      </c>
      <c r="AK87" s="62">
        <f t="shared" si="15"/>
        <v>359612</v>
      </c>
      <c r="AL87" s="62">
        <f t="shared" si="15"/>
        <v>96389</v>
      </c>
      <c r="AM87" s="62">
        <f t="shared" si="15"/>
        <v>193349</v>
      </c>
      <c r="AN87" s="62">
        <f t="shared" si="15"/>
        <v>288874</v>
      </c>
      <c r="AO87" s="62">
        <f t="shared" si="15"/>
        <v>359535</v>
      </c>
      <c r="AP87" s="62">
        <f t="shared" si="15"/>
        <v>97522</v>
      </c>
      <c r="AQ87" s="62">
        <f t="shared" si="15"/>
        <v>194107</v>
      </c>
      <c r="AR87" s="62">
        <f t="shared" si="15"/>
        <v>288530</v>
      </c>
      <c r="AS87" s="62">
        <f t="shared" si="15"/>
        <v>360315</v>
      </c>
      <c r="AT87" s="62">
        <f>AT67+AT81</f>
        <v>98403</v>
      </c>
    </row>
    <row r="88" spans="3:48" x14ac:dyDescent="0.35">
      <c r="C88" s="17" t="s">
        <v>113</v>
      </c>
      <c r="E88" s="75">
        <f>E89+E90</f>
        <v>709</v>
      </c>
      <c r="F88" s="75">
        <f t="shared" ref="F88:AT88" si="16">F89+F90</f>
        <v>170</v>
      </c>
      <c r="G88" s="75">
        <f t="shared" si="16"/>
        <v>834</v>
      </c>
      <c r="H88" s="75">
        <f t="shared" si="16"/>
        <v>757</v>
      </c>
      <c r="I88" s="75">
        <f t="shared" si="16"/>
        <v>1929</v>
      </c>
      <c r="J88" s="75">
        <f t="shared" si="16"/>
        <v>371</v>
      </c>
      <c r="K88" s="75">
        <f t="shared" si="16"/>
        <v>859</v>
      </c>
      <c r="L88" s="75">
        <f t="shared" si="16"/>
        <v>1079</v>
      </c>
      <c r="M88" s="75">
        <f t="shared" si="16"/>
        <v>1770</v>
      </c>
      <c r="N88" s="75">
        <f t="shared" si="16"/>
        <v>146</v>
      </c>
      <c r="O88" s="75">
        <f t="shared" si="16"/>
        <v>611</v>
      </c>
      <c r="P88" s="75">
        <f t="shared" si="16"/>
        <v>786</v>
      </c>
      <c r="Q88" s="75">
        <f t="shared" si="16"/>
        <v>1254</v>
      </c>
      <c r="R88" s="75">
        <f t="shared" si="16"/>
        <v>198</v>
      </c>
      <c r="S88" s="75">
        <f t="shared" si="16"/>
        <v>332</v>
      </c>
      <c r="T88" s="75">
        <f t="shared" si="16"/>
        <v>551</v>
      </c>
      <c r="U88" s="75">
        <f t="shared" si="16"/>
        <v>939</v>
      </c>
      <c r="V88" s="75">
        <f t="shared" si="16"/>
        <v>416</v>
      </c>
      <c r="W88" s="75">
        <f t="shared" si="16"/>
        <v>842</v>
      </c>
      <c r="X88" s="75">
        <f t="shared" si="16"/>
        <v>1115</v>
      </c>
      <c r="Y88" s="75">
        <f t="shared" si="16"/>
        <v>1311</v>
      </c>
      <c r="Z88" s="75">
        <f t="shared" si="16"/>
        <v>227</v>
      </c>
      <c r="AA88" s="75">
        <f t="shared" si="16"/>
        <v>554</v>
      </c>
      <c r="AB88" s="75">
        <f t="shared" si="16"/>
        <v>790</v>
      </c>
      <c r="AC88" s="75">
        <f t="shared" si="16"/>
        <v>1229</v>
      </c>
      <c r="AD88" s="75">
        <f t="shared" si="16"/>
        <v>103</v>
      </c>
      <c r="AE88" s="75">
        <f t="shared" si="16"/>
        <v>448</v>
      </c>
      <c r="AF88" s="75">
        <f t="shared" si="16"/>
        <v>612</v>
      </c>
      <c r="AG88" s="75">
        <f t="shared" si="16"/>
        <v>1491</v>
      </c>
      <c r="AH88" s="75">
        <f t="shared" si="16"/>
        <v>297</v>
      </c>
      <c r="AI88" s="75">
        <f t="shared" si="16"/>
        <v>584</v>
      </c>
      <c r="AJ88" s="75">
        <f t="shared" si="16"/>
        <v>726</v>
      </c>
      <c r="AK88" s="75">
        <f t="shared" si="16"/>
        <v>2000</v>
      </c>
      <c r="AL88" s="75">
        <f t="shared" si="16"/>
        <v>630</v>
      </c>
      <c r="AM88" s="75">
        <f t="shared" si="16"/>
        <v>1329</v>
      </c>
      <c r="AN88" s="75">
        <f t="shared" si="16"/>
        <v>1647</v>
      </c>
      <c r="AO88" s="75">
        <f t="shared" si="16"/>
        <v>3700</v>
      </c>
      <c r="AP88" s="75">
        <f t="shared" si="16"/>
        <v>400</v>
      </c>
      <c r="AQ88" s="75">
        <f t="shared" si="16"/>
        <v>968</v>
      </c>
      <c r="AR88" s="75">
        <f t="shared" si="16"/>
        <v>1336</v>
      </c>
      <c r="AS88" s="75">
        <f t="shared" si="16"/>
        <v>2964</v>
      </c>
      <c r="AT88" s="75">
        <f t="shared" si="16"/>
        <v>393</v>
      </c>
    </row>
    <row r="89" spans="3:48" x14ac:dyDescent="0.35">
      <c r="C89" s="17" t="s">
        <v>114</v>
      </c>
      <c r="E89" s="68">
        <f>[2]!s_stm07_is($C$6,"W68538378",E6,1,1000000)</f>
        <v>2244</v>
      </c>
      <c r="F89" s="68">
        <f>[2]!s_stm07_is($C$6,"W68538378",F6,1,1000000)</f>
        <v>355</v>
      </c>
      <c r="G89" s="68">
        <f>[2]!s_stm07_is($C$6,"W68538378",G6,1,1000000)</f>
        <v>1316</v>
      </c>
      <c r="H89" s="68">
        <f>[2]!s_stm07_is($C$6,"W68538378",H6,1,1000000)</f>
        <v>1422</v>
      </c>
      <c r="I89" s="68">
        <f>[2]!s_stm07_is($C$6,"W68538378",I6,1,1000000)</f>
        <v>3260</v>
      </c>
      <c r="J89" s="68">
        <f>[2]!s_stm07_is($C$6,"W68538378",J6,1,1000000)</f>
        <v>513</v>
      </c>
      <c r="K89" s="68">
        <f>[2]!s_stm07_is($C$6,"W68538378",K6,1,1000000)</f>
        <v>1179</v>
      </c>
      <c r="L89" s="68">
        <f>[2]!s_stm07_is($C$6,"W68538378",L6,1,1000000)</f>
        <v>1510</v>
      </c>
      <c r="M89" s="68">
        <f>[2]!s_stm07_is($C$6,"W68538378",M6,1,1000000)</f>
        <v>2834</v>
      </c>
      <c r="N89" s="68">
        <f>[2]!s_stm07_is($C$6,"W68538378",N6,1,1000000)</f>
        <v>254</v>
      </c>
      <c r="O89" s="68">
        <f>[2]!s_stm07_is($C$6,"W68538378",O6,1,1000000)</f>
        <v>769</v>
      </c>
      <c r="P89" s="68">
        <f>[2]!s_stm07_is($C$6,"W68538378",P6,1,1000000)</f>
        <v>1087</v>
      </c>
      <c r="Q89" s="68">
        <f>[2]!s_stm07_is($C$6,"W68538378",Q6,1,1000000)</f>
        <v>2213</v>
      </c>
      <c r="R89" s="68">
        <f>[2]!s_stm07_is($C$6,"W68538378",R6,1,1000000)</f>
        <v>304</v>
      </c>
      <c r="S89" s="68">
        <f>[2]!s_stm07_is($C$6,"W68538378",S6,1,1000000)</f>
        <v>637</v>
      </c>
      <c r="T89" s="68">
        <f>[2]!s_stm07_is($C$6,"W68538378",T6,1,1000000)</f>
        <v>1086</v>
      </c>
      <c r="U89" s="68">
        <f>[2]!s_stm07_is($C$6,"W68538378",U6,1,1000000)</f>
        <v>2357</v>
      </c>
      <c r="V89" s="68">
        <f>[2]!s_stm07_is($C$6,"W68538378",V6,1,1000000)</f>
        <v>560</v>
      </c>
      <c r="W89" s="68">
        <f>[2]!s_stm07_is($C$6,"W68538378",W6,1,1000000)</f>
        <v>1140</v>
      </c>
      <c r="X89" s="68">
        <f>[2]!s_stm07_is($C$6,"W68538378",X6,1,1000000)</f>
        <v>1583</v>
      </c>
      <c r="Y89" s="68">
        <f>[2]!s_stm07_is($C$6,"W68538378",Y6,1,1000000)</f>
        <v>2451</v>
      </c>
      <c r="Z89" s="68">
        <f>[2]!s_stm07_is($C$6,"W68538378",Z6,1,1000000)</f>
        <v>319</v>
      </c>
      <c r="AA89" s="68">
        <f>[2]!s_stm07_is($C$6,"W68538378",AA6,1,1000000)</f>
        <v>869</v>
      </c>
      <c r="AB89" s="68">
        <f>[2]!s_stm07_is($C$6,"W68538378",AB6,1,1000000)</f>
        <v>1351</v>
      </c>
      <c r="AC89" s="68">
        <f>[2]!s_stm07_is($C$6,"W68538378",AC6,1,1000000)</f>
        <v>2767</v>
      </c>
      <c r="AD89" s="68">
        <f>[2]!s_stm07_is($C$6,"W68538378",AD6,1,1000000)</f>
        <v>298</v>
      </c>
      <c r="AE89" s="68">
        <f>[2]!s_stm07_is($C$6,"W68538378",AE6,1,1000000)</f>
        <v>886</v>
      </c>
      <c r="AF89" s="68">
        <f>[2]!s_stm07_is($C$6,"W68538378",AF6,1,1000000)</f>
        <v>1295</v>
      </c>
      <c r="AG89" s="68">
        <f>[2]!s_stm07_is($C$6,"W68538378",AG6,1,1000000)</f>
        <v>2910</v>
      </c>
      <c r="AH89" s="68">
        <f>[2]!s_stm07_is($C$6,"W68538378",AH6,1,1000000)</f>
        <v>507</v>
      </c>
      <c r="AI89" s="68">
        <f>[2]!s_stm07_is($C$6,"W68538378",AI6,1,1000000)</f>
        <v>1029</v>
      </c>
      <c r="AJ89" s="68">
        <f>[2]!s_stm07_is($C$6,"W68538378",AJ6,1,1000000)</f>
        <v>1481</v>
      </c>
      <c r="AK89" s="68">
        <f>[2]!s_stm07_is($C$6,"W68538378",AK6,1,1000000)</f>
        <v>3062</v>
      </c>
      <c r="AL89" s="68">
        <f>[2]!s_stm07_is($C$6,"W68538378",AL6,1,1000000)</f>
        <v>789</v>
      </c>
      <c r="AM89" s="68">
        <f>[2]!s_stm07_is($C$6,"W68538378",AM6,1,1000000)</f>
        <v>1611</v>
      </c>
      <c r="AN89" s="68">
        <f>[2]!s_stm07_is($C$6,"W68538378",AN6,1,1000000)</f>
        <v>2077</v>
      </c>
      <c r="AO89" s="68">
        <f>[2]!s_stm07_is($C$6,"W68538378",AO6,1,1000000)</f>
        <v>4392</v>
      </c>
      <c r="AP89" s="68">
        <f>[2]!s_stm07_is($C$6,"W68538378",AP6,1,1000000)</f>
        <v>488</v>
      </c>
      <c r="AQ89" s="68">
        <f>[2]!s_stm07_is($C$6,"W68538378",AQ6,1,1000000)</f>
        <v>1157</v>
      </c>
      <c r="AR89" s="68">
        <f>[2]!s_stm07_is($C$6,"W68538378",AR6,1,1000000)</f>
        <v>1714</v>
      </c>
      <c r="AS89" s="68">
        <f>[2]!s_stm07_is($C$6,"W68538378",AS6,1,1000000)</f>
        <v>3601</v>
      </c>
      <c r="AT89" s="68">
        <f>[2]!s_stm07_is($C$6,"W68538378",AT6,1,1000000)</f>
        <v>502</v>
      </c>
    </row>
    <row r="90" spans="3:48" x14ac:dyDescent="0.35">
      <c r="C90" s="76" t="s">
        <v>115</v>
      </c>
      <c r="E90" s="77">
        <f>0-[2]!s_stm07_is($C$6,"W67738435",E6,1,1000000)</f>
        <v>-1535</v>
      </c>
      <c r="F90" s="77">
        <f>0-[2]!s_stm07_is($C$6,"W67738435",F6,1,1000000)</f>
        <v>-185</v>
      </c>
      <c r="G90" s="77">
        <f>0-[2]!s_stm07_is($C$6,"W67738435",G6,1,1000000)</f>
        <v>-482</v>
      </c>
      <c r="H90" s="77">
        <f>0-[2]!s_stm07_is($C$6,"W67738435",H6,1,1000000)</f>
        <v>-665</v>
      </c>
      <c r="I90" s="77">
        <f>0-[2]!s_stm07_is($C$6,"W67738435",I6,1,1000000)</f>
        <v>-1331</v>
      </c>
      <c r="J90" s="77">
        <f>0-[2]!s_stm07_is($C$6,"W67738435",J6,1,1000000)</f>
        <v>-142</v>
      </c>
      <c r="K90" s="77">
        <f>0-[2]!s_stm07_is($C$6,"W67738435",K6,1,1000000)</f>
        <v>-320</v>
      </c>
      <c r="L90" s="77">
        <f>0-[2]!s_stm07_is($C$6,"W67738435",L6,1,1000000)</f>
        <v>-431</v>
      </c>
      <c r="M90" s="77">
        <f>0-[2]!s_stm07_is($C$6,"W67738435",M6,1,1000000)</f>
        <v>-1064</v>
      </c>
      <c r="N90" s="77">
        <f>0-[2]!s_stm07_is($C$6,"W67738435",N6,1,1000000)</f>
        <v>-108</v>
      </c>
      <c r="O90" s="77">
        <f>0-[2]!s_stm07_is($C$6,"W67738435",O6,1,1000000)</f>
        <v>-158</v>
      </c>
      <c r="P90" s="77">
        <f>0-[2]!s_stm07_is($C$6,"W67738435",P6,1,1000000)</f>
        <v>-301</v>
      </c>
      <c r="Q90" s="77">
        <f>0-[2]!s_stm07_is($C$6,"W67738435",Q6,1,1000000)</f>
        <v>-959</v>
      </c>
      <c r="R90" s="77">
        <f>0-[2]!s_stm07_is($C$6,"W67738435",R6,1,1000000)</f>
        <v>-106</v>
      </c>
      <c r="S90" s="77">
        <f>0-[2]!s_stm07_is($C$6,"W67738435",S6,1,1000000)</f>
        <v>-305</v>
      </c>
      <c r="T90" s="77">
        <f>0-[2]!s_stm07_is($C$6,"W67738435",T6,1,1000000)</f>
        <v>-535</v>
      </c>
      <c r="U90" s="77">
        <f>0-[2]!s_stm07_is($C$6,"W67738435",U6,1,1000000)</f>
        <v>-1418</v>
      </c>
      <c r="V90" s="77">
        <f>0-[2]!s_stm07_is($C$6,"W67738435",V6,1,1000000)</f>
        <v>-144</v>
      </c>
      <c r="W90" s="77">
        <f>0-[2]!s_stm07_is($C$6,"W67738435",W6,1,1000000)</f>
        <v>-298</v>
      </c>
      <c r="X90" s="77">
        <f>0-[2]!s_stm07_is($C$6,"W67738435",X6,1,1000000)</f>
        <v>-468</v>
      </c>
      <c r="Y90" s="77">
        <f>0-[2]!s_stm07_is($C$6,"W67738435",Y6,1,1000000)</f>
        <v>-1140</v>
      </c>
      <c r="Z90" s="77">
        <f>0-[2]!s_stm07_is($C$6,"W67738435",Z6,1,1000000)</f>
        <v>-92</v>
      </c>
      <c r="AA90" s="77">
        <f>0-[2]!s_stm07_is($C$6,"W67738435",AA6,1,1000000)</f>
        <v>-315</v>
      </c>
      <c r="AB90" s="77">
        <f>0-[2]!s_stm07_is($C$6,"W67738435",AB6,1,1000000)</f>
        <v>-561</v>
      </c>
      <c r="AC90" s="77">
        <f>0-[2]!s_stm07_is($C$6,"W67738435",AC6,1,1000000)</f>
        <v>-1538</v>
      </c>
      <c r="AD90" s="77">
        <f>0-[2]!s_stm07_is($C$6,"W67738435",AD6,1,1000000)</f>
        <v>-195</v>
      </c>
      <c r="AE90" s="77">
        <f>0-[2]!s_stm07_is($C$6,"W67738435",AE6,1,1000000)</f>
        <v>-438</v>
      </c>
      <c r="AF90" s="77">
        <f>0-[2]!s_stm07_is($C$6,"W67738435",AF6,1,1000000)</f>
        <v>-683</v>
      </c>
      <c r="AG90" s="77">
        <f>0-[2]!s_stm07_is($C$6,"W67738435",AG6,1,1000000)</f>
        <v>-1419</v>
      </c>
      <c r="AH90" s="77">
        <f>0-[2]!s_stm07_is($C$6,"W67738435",AH6,1,1000000)</f>
        <v>-210</v>
      </c>
      <c r="AI90" s="77">
        <f>0-[2]!s_stm07_is($C$6,"W67738435",AI6,1,1000000)</f>
        <v>-445</v>
      </c>
      <c r="AJ90" s="77">
        <f>0-[2]!s_stm07_is($C$6,"W67738435",AJ6,1,1000000)</f>
        <v>-755</v>
      </c>
      <c r="AK90" s="77">
        <f>0-[2]!s_stm07_is($C$6,"W67738435",AK6,1,1000000)</f>
        <v>-1062</v>
      </c>
      <c r="AL90" s="77">
        <f>0-[2]!s_stm07_is($C$6,"W67738435",AL6,1,1000000)</f>
        <v>-159</v>
      </c>
      <c r="AM90" s="77">
        <f>0-[2]!s_stm07_is($C$6,"W67738435",AM6,1,1000000)</f>
        <v>-282</v>
      </c>
      <c r="AN90" s="77">
        <f>0-[2]!s_stm07_is($C$6,"W67738435",AN6,1,1000000)</f>
        <v>-430</v>
      </c>
      <c r="AO90" s="77">
        <f>0-[2]!s_stm07_is($C$6,"W67738435",AO6,1,1000000)</f>
        <v>-692</v>
      </c>
      <c r="AP90" s="77">
        <f>0-[2]!s_stm07_is($C$6,"W67738435",AP6,1,1000000)</f>
        <v>-88</v>
      </c>
      <c r="AQ90" s="77">
        <f>0-[2]!s_stm07_is($C$6,"W67738435",AQ6,1,1000000)</f>
        <v>-189</v>
      </c>
      <c r="AR90" s="77">
        <f>0-[2]!s_stm07_is($C$6,"W67738435",AR6,1,1000000)</f>
        <v>-378</v>
      </c>
      <c r="AS90" s="77">
        <f>0-[2]!s_stm07_is($C$6,"W67738435",AS6,1,1000000)</f>
        <v>-637</v>
      </c>
      <c r="AT90" s="77">
        <f>0-[2]!s_stm07_is($C$6,"W67738435",AT6,1,1000000)</f>
        <v>-109</v>
      </c>
    </row>
    <row r="91" spans="3:48" ht="13.15" x14ac:dyDescent="0.4">
      <c r="C91" s="78" t="s">
        <v>116</v>
      </c>
      <c r="E91" s="79">
        <f>E87+E88</f>
        <v>74089</v>
      </c>
      <c r="F91" s="79">
        <f t="shared" ref="F91:AS91" si="17">F87+F88</f>
        <v>27827</v>
      </c>
      <c r="G91" s="79">
        <f t="shared" si="17"/>
        <v>58234</v>
      </c>
      <c r="H91" s="79">
        <f t="shared" si="17"/>
        <v>91149</v>
      </c>
      <c r="I91" s="79">
        <f t="shared" si="17"/>
        <v>114837</v>
      </c>
      <c r="J91" s="79">
        <f t="shared" si="17"/>
        <v>43615</v>
      </c>
      <c r="K91" s="79">
        <f t="shared" si="17"/>
        <v>84051</v>
      </c>
      <c r="L91" s="79">
        <f t="shared" si="17"/>
        <v>120169</v>
      </c>
      <c r="M91" s="79">
        <f t="shared" si="17"/>
        <v>145301</v>
      </c>
      <c r="N91" s="79">
        <f t="shared" si="17"/>
        <v>45624</v>
      </c>
      <c r="O91" s="79">
        <f t="shared" si="17"/>
        <v>85677</v>
      </c>
      <c r="P91" s="79">
        <f t="shared" si="17"/>
        <v>128873</v>
      </c>
      <c r="Q91" s="79">
        <f t="shared" si="17"/>
        <v>167248</v>
      </c>
      <c r="R91" s="79">
        <f t="shared" si="17"/>
        <v>54115</v>
      </c>
      <c r="S91" s="79">
        <f t="shared" si="17"/>
        <v>110616</v>
      </c>
      <c r="T91" s="79">
        <f t="shared" si="17"/>
        <v>166324</v>
      </c>
      <c r="U91" s="79">
        <f t="shared" si="17"/>
        <v>215426</v>
      </c>
      <c r="V91" s="79">
        <f t="shared" si="17"/>
        <v>69998</v>
      </c>
      <c r="W91" s="79">
        <f t="shared" si="17"/>
        <v>142345</v>
      </c>
      <c r="X91" s="79">
        <f t="shared" si="17"/>
        <v>212359</v>
      </c>
      <c r="Y91" s="79">
        <f t="shared" si="17"/>
        <v>272311</v>
      </c>
      <c r="Z91" s="79">
        <f t="shared" si="17"/>
        <v>79828</v>
      </c>
      <c r="AA91" s="79">
        <f t="shared" si="17"/>
        <v>160212</v>
      </c>
      <c r="AB91" s="79">
        <f t="shared" si="17"/>
        <v>239840</v>
      </c>
      <c r="AC91" s="79">
        <f t="shared" si="17"/>
        <v>308687</v>
      </c>
      <c r="AD91" s="79">
        <f t="shared" si="17"/>
        <v>88338</v>
      </c>
      <c r="AE91" s="79">
        <f t="shared" si="17"/>
        <v>178841</v>
      </c>
      <c r="AF91" s="79">
        <f t="shared" si="17"/>
        <v>264649</v>
      </c>
      <c r="AG91" s="79">
        <f t="shared" si="17"/>
        <v>338537</v>
      </c>
      <c r="AH91" s="79">
        <f t="shared" si="17"/>
        <v>95657</v>
      </c>
      <c r="AI91" s="79">
        <f t="shared" si="17"/>
        <v>194090</v>
      </c>
      <c r="AJ91" s="79">
        <f t="shared" si="17"/>
        <v>288231</v>
      </c>
      <c r="AK91" s="79">
        <f t="shared" si="17"/>
        <v>361612</v>
      </c>
      <c r="AL91" s="79">
        <f t="shared" si="17"/>
        <v>97019</v>
      </c>
      <c r="AM91" s="79">
        <f t="shared" si="17"/>
        <v>194678</v>
      </c>
      <c r="AN91" s="79">
        <f t="shared" si="17"/>
        <v>290521</v>
      </c>
      <c r="AO91" s="79">
        <f t="shared" si="17"/>
        <v>363235</v>
      </c>
      <c r="AP91" s="79">
        <f t="shared" si="17"/>
        <v>97922</v>
      </c>
      <c r="AQ91" s="79">
        <f t="shared" si="17"/>
        <v>195075</v>
      </c>
      <c r="AR91" s="79">
        <f t="shared" si="17"/>
        <v>289866</v>
      </c>
      <c r="AS91" s="79">
        <f t="shared" si="17"/>
        <v>363279</v>
      </c>
      <c r="AT91" s="79">
        <f>AT87+AT88</f>
        <v>98796</v>
      </c>
    </row>
    <row r="92" spans="3:48" x14ac:dyDescent="0.35">
      <c r="C92" s="17" t="s">
        <v>117</v>
      </c>
      <c r="E92" s="80">
        <f>0-[2]!s_stm07_is($C$6,"W65004312",E6,1,1000000)</f>
        <v>-22185</v>
      </c>
      <c r="F92" s="80">
        <f>0-[2]!s_stm07_is($C$6,"W65004312",F6,1,1000000)</f>
        <v>-9061</v>
      </c>
      <c r="G92" s="80">
        <f>0-[2]!s_stm07_is($C$6,"W65004312",G6,1,1000000)</f>
        <v>-17213</v>
      </c>
      <c r="H92" s="80">
        <f>0-[2]!s_stm07_is($C$6,"W65004312",H6,1,1000000)</f>
        <v>-27557</v>
      </c>
      <c r="I92" s="80">
        <f>0-[2]!s_stm07_is($C$6,"W65004312",I6,1,1000000)</f>
        <v>-33124</v>
      </c>
      <c r="J92" s="80">
        <f>0-[2]!s_stm07_is($C$6,"W65004312",J6,1,1000000)</f>
        <v>-10398</v>
      </c>
      <c r="K92" s="80">
        <f>0-[2]!s_stm07_is($C$6,"W65004312",K6,1,1000000)</f>
        <v>-19532</v>
      </c>
      <c r="L92" s="80">
        <f>0-[2]!s_stm07_is($C$6,"W65004312",L6,1,1000000)</f>
        <v>-27507</v>
      </c>
      <c r="M92" s="80">
        <f>0-[2]!s_stm07_is($C$6,"W65004312",M6,1,1000000)</f>
        <v>-34150</v>
      </c>
      <c r="N92" s="80">
        <f>0-[2]!s_stm07_is($C$6,"W65004312",N6,1,1000000)</f>
        <v>-10335</v>
      </c>
      <c r="O92" s="80">
        <f>0-[2]!s_stm07_is($C$6,"W65004312",O6,1,1000000)</f>
        <v>-19064</v>
      </c>
      <c r="P92" s="80">
        <f>0-[2]!s_stm07_is($C$6,"W65004312",P6,1,1000000)</f>
        <v>-28440</v>
      </c>
      <c r="Q92" s="80">
        <f>0-[2]!s_stm07_is($C$6,"W65004312",Q6,1,1000000)</f>
        <v>-37898</v>
      </c>
      <c r="R92" s="80">
        <f>0-[2]!s_stm07_is($C$6,"W65004312",R6,1,1000000)</f>
        <v>-12390</v>
      </c>
      <c r="S92" s="80">
        <f>0-[2]!s_stm07_is($C$6,"W65004312",S6,1,1000000)</f>
        <v>-25651</v>
      </c>
      <c r="T92" s="80">
        <f>0-[2]!s_stm07_is($C$6,"W65004312",T6,1,1000000)</f>
        <v>-38529</v>
      </c>
      <c r="U92" s="80">
        <f>0-[2]!s_stm07_is($C$6,"W65004312",U6,1,1000000)</f>
        <v>-49401</v>
      </c>
      <c r="V92" s="80">
        <f>0-[2]!s_stm07_is($C$6,"W65004312",V6,1,1000000)</f>
        <v>-16162</v>
      </c>
      <c r="W92" s="80">
        <f>0-[2]!s_stm07_is($C$6,"W65004312",W6,1,1000000)</f>
        <v>-32770</v>
      </c>
      <c r="X92" s="80">
        <f>0-[2]!s_stm07_is($C$6,"W65004312",X6,1,1000000)</f>
        <v>-48381</v>
      </c>
      <c r="Y92" s="80">
        <f>0-[2]!s_stm07_is($C$6,"W65004312",Y6,1,1000000)</f>
        <v>-63866</v>
      </c>
      <c r="Z92" s="80">
        <f>0-[2]!s_stm07_is($C$6,"W65004312",Z6,1,1000000)</f>
        <v>-18456</v>
      </c>
      <c r="AA92" s="80">
        <f>0-[2]!s_stm07_is($C$6,"W65004312",AA6,1,1000000)</f>
        <v>-36971</v>
      </c>
      <c r="AB92" s="80">
        <f>0-[2]!s_stm07_is($C$6,"W65004312",AB6,1,1000000)</f>
        <v>-54129</v>
      </c>
      <c r="AC92" s="80">
        <f>0-[2]!s_stm07_is($C$6,"W65004312",AC6,1,1000000)</f>
        <v>-69996</v>
      </c>
      <c r="AD92" s="80">
        <f>0-[2]!s_stm07_is($C$6,"W65004312",AD6,1,1000000)</f>
        <v>-19525</v>
      </c>
      <c r="AE92" s="80">
        <f>0-[2]!s_stm07_is($C$6,"W65004312",AE6,1,1000000)</f>
        <v>-40364</v>
      </c>
      <c r="AF92" s="80">
        <f>0-[2]!s_stm07_is($C$6,"W65004312",AF6,1,1000000)</f>
        <v>-58878</v>
      </c>
      <c r="AG92" s="80">
        <f>0-[2]!s_stm07_is($C$6,"W65004312",AG6,1,1000000)</f>
        <v>-75572</v>
      </c>
      <c r="AH92" s="80">
        <f>0-[2]!s_stm07_is($C$6,"W65004312",AH6,1,1000000)</f>
        <v>-22196</v>
      </c>
      <c r="AI92" s="80">
        <f>0-[2]!s_stm07_is($C$6,"W65004312",AI6,1,1000000)</f>
        <v>-45709</v>
      </c>
      <c r="AJ92" s="80">
        <f>0-[2]!s_stm07_is($C$6,"W65004312",AJ6,1,1000000)</f>
        <v>-67376</v>
      </c>
      <c r="AK92" s="80">
        <f>0-[2]!s_stm07_is($C$6,"W65004312",AK6,1,1000000)</f>
        <v>-85326</v>
      </c>
      <c r="AL92" s="80">
        <f>0-[2]!s_stm07_is($C$6,"W65004312",AL6,1,1000000)</f>
        <v>-22562</v>
      </c>
      <c r="AM92" s="80">
        <f>0-[2]!s_stm07_is($C$6,"W65004312",AM6,1,1000000)</f>
        <v>-45252</v>
      </c>
      <c r="AN92" s="80">
        <f>0-[2]!s_stm07_is($C$6,"W65004312",AN6,1,1000000)</f>
        <v>-68230</v>
      </c>
      <c r="AO92" s="80">
        <f>0-[2]!s_stm07_is($C$6,"W65004312",AO6,1,1000000)</f>
        <v>-85515</v>
      </c>
      <c r="AP92" s="80">
        <f>0-[2]!s_stm07_is($C$6,"W65004312",AP6,1,1000000)</f>
        <v>-23018</v>
      </c>
      <c r="AQ92" s="80">
        <f>0-[2]!s_stm07_is($C$6,"W65004312",AQ6,1,1000000)</f>
        <v>-44419</v>
      </c>
      <c r="AR92" s="80">
        <f>0-[2]!s_stm07_is($C$6,"W65004312",AR6,1,1000000)</f>
        <v>-66398</v>
      </c>
      <c r="AS92" s="80">
        <f>0-[2]!s_stm07_is($C$6,"W65004312",AS6,1,1000000)</f>
        <v>-84173</v>
      </c>
      <c r="AT92" s="80">
        <f>0-[2]!s_stm07_is($C$6,"W65004312",AT6,1,1000000)</f>
        <v>-22769</v>
      </c>
    </row>
    <row r="93" spans="3:48" ht="13.15" x14ac:dyDescent="0.4">
      <c r="C93" s="78" t="s">
        <v>118</v>
      </c>
      <c r="E93" s="79">
        <f>E91+E92</f>
        <v>51904</v>
      </c>
      <c r="F93" s="79">
        <f t="shared" ref="F93:AS93" si="18">F91+F92</f>
        <v>18766</v>
      </c>
      <c r="G93" s="79">
        <f t="shared" si="18"/>
        <v>41021</v>
      </c>
      <c r="H93" s="79">
        <f t="shared" si="18"/>
        <v>63592</v>
      </c>
      <c r="I93" s="79">
        <f t="shared" si="18"/>
        <v>81713</v>
      </c>
      <c r="J93" s="79">
        <f t="shared" si="18"/>
        <v>33217</v>
      </c>
      <c r="K93" s="79">
        <f t="shared" si="18"/>
        <v>64519</v>
      </c>
      <c r="L93" s="79">
        <f t="shared" si="18"/>
        <v>92662</v>
      </c>
      <c r="M93" s="79">
        <f t="shared" si="18"/>
        <v>111151</v>
      </c>
      <c r="N93" s="79">
        <f t="shared" si="18"/>
        <v>35289</v>
      </c>
      <c r="O93" s="79">
        <f t="shared" si="18"/>
        <v>66613</v>
      </c>
      <c r="P93" s="79">
        <f t="shared" si="18"/>
        <v>100433</v>
      </c>
      <c r="Q93" s="79">
        <f t="shared" si="18"/>
        <v>129350</v>
      </c>
      <c r="R93" s="79">
        <f t="shared" si="18"/>
        <v>41725</v>
      </c>
      <c r="S93" s="79">
        <f t="shared" si="18"/>
        <v>84965</v>
      </c>
      <c r="T93" s="79">
        <f t="shared" si="18"/>
        <v>127795</v>
      </c>
      <c r="U93" s="79">
        <f t="shared" si="18"/>
        <v>166025</v>
      </c>
      <c r="V93" s="79">
        <f t="shared" si="18"/>
        <v>53836</v>
      </c>
      <c r="W93" s="79">
        <f t="shared" si="18"/>
        <v>109575</v>
      </c>
      <c r="X93" s="79">
        <f t="shared" si="18"/>
        <v>163978</v>
      </c>
      <c r="Y93" s="79">
        <f t="shared" si="18"/>
        <v>208445</v>
      </c>
      <c r="Z93" s="79">
        <f t="shared" si="18"/>
        <v>61372</v>
      </c>
      <c r="AA93" s="79">
        <f t="shared" si="18"/>
        <v>123241</v>
      </c>
      <c r="AB93" s="79">
        <f t="shared" si="18"/>
        <v>185711</v>
      </c>
      <c r="AC93" s="79">
        <f t="shared" si="18"/>
        <v>238691</v>
      </c>
      <c r="AD93" s="79">
        <f t="shared" si="18"/>
        <v>68813</v>
      </c>
      <c r="AE93" s="79">
        <f t="shared" si="18"/>
        <v>138477</v>
      </c>
      <c r="AF93" s="79">
        <f t="shared" si="18"/>
        <v>205771</v>
      </c>
      <c r="AG93" s="79">
        <f t="shared" si="18"/>
        <v>262965</v>
      </c>
      <c r="AH93" s="79">
        <f t="shared" si="18"/>
        <v>73461</v>
      </c>
      <c r="AI93" s="79">
        <f t="shared" si="18"/>
        <v>148381</v>
      </c>
      <c r="AJ93" s="79">
        <f t="shared" si="18"/>
        <v>220855</v>
      </c>
      <c r="AK93" s="79">
        <f t="shared" si="18"/>
        <v>276286</v>
      </c>
      <c r="AL93" s="79">
        <f t="shared" si="18"/>
        <v>74457</v>
      </c>
      <c r="AM93" s="79">
        <f t="shared" si="18"/>
        <v>149426</v>
      </c>
      <c r="AN93" s="79">
        <f t="shared" si="18"/>
        <v>222291</v>
      </c>
      <c r="AO93" s="79">
        <f t="shared" si="18"/>
        <v>277720</v>
      </c>
      <c r="AP93" s="79">
        <f t="shared" si="18"/>
        <v>74904</v>
      </c>
      <c r="AQ93" s="79">
        <f t="shared" si="18"/>
        <v>150656</v>
      </c>
      <c r="AR93" s="79">
        <f t="shared" si="18"/>
        <v>223468</v>
      </c>
      <c r="AS93" s="79">
        <f t="shared" si="18"/>
        <v>279106</v>
      </c>
      <c r="AT93" s="79">
        <f>AT91+AT92</f>
        <v>76027</v>
      </c>
    </row>
    <row r="94" spans="3:48" x14ac:dyDescent="0.35">
      <c r="C94" s="17" t="s">
        <v>119</v>
      </c>
      <c r="E94" s="81">
        <f>[2]!s_stm07_is($C$6,"W66823304",E6,1,1000000)</f>
        <v>48719</v>
      </c>
      <c r="F94" s="81">
        <f>[2]!s_stm07_is($C$6,"W66823304",F6,1,1000000)</f>
        <v>18706</v>
      </c>
      <c r="G94" s="81">
        <f>[2]!s_stm07_is($C$6,"W66823304",G6,1,1000000)</f>
        <v>40844</v>
      </c>
      <c r="H94" s="81">
        <f>[2]!s_stm07_is($C$6,"W66823304",H6,1,1000000)</f>
        <v>63307</v>
      </c>
      <c r="I94" s="81">
        <f>[2]!s_stm07_is($C$6,"W66823304",I6,1,1000000)</f>
        <v>81256</v>
      </c>
      <c r="J94" s="81">
        <f>[2]!s_stm07_is($C$6,"W66823304",J6,1,1000000)</f>
        <v>33113</v>
      </c>
      <c r="K94" s="81">
        <f>[2]!s_stm07_is($C$6,"W66823304",K6,1,1000000)</f>
        <v>64531</v>
      </c>
      <c r="L94" s="81">
        <f>[2]!s_stm07_is($C$6,"W66823304",L6,1,1000000)</f>
        <v>92730</v>
      </c>
      <c r="M94" s="81">
        <f>[2]!s_stm07_is($C$6,"W66823304",M6,1,1000000)</f>
        <v>110766</v>
      </c>
      <c r="N94" s="81">
        <f>[2]!s_stm07_is($C$6,"W66823304",N6,1,1000000)</f>
        <v>35153</v>
      </c>
      <c r="O94" s="81">
        <f>[2]!s_stm07_is($C$6,"W66823304",O6,1,1000000)</f>
        <v>66313</v>
      </c>
      <c r="P94" s="81">
        <f>[2]!s_stm07_is($C$6,"W66823304",P6,1,1000000)</f>
        <v>99908</v>
      </c>
      <c r="Q94" s="81">
        <f>[2]!s_stm07_is($C$6,"W66823304",Q6,1,1000000)</f>
        <v>128599</v>
      </c>
      <c r="R94" s="81">
        <f>[2]!s_stm07_is($C$6,"W66823304",R6,1,1000000)</f>
        <v>41547</v>
      </c>
      <c r="S94" s="81">
        <f>[2]!s_stm07_is($C$6,"W66823304",S6,1,1000000)</f>
        <v>84603</v>
      </c>
      <c r="T94" s="81">
        <f>[2]!s_stm07_is($C$6,"W66823304",T6,1,1000000)</f>
        <v>127216</v>
      </c>
      <c r="U94" s="81">
        <f>[2]!s_stm07_is($C$6,"W66823304",U6,1,1000000)</f>
        <v>165156</v>
      </c>
      <c r="V94" s="81">
        <f>[2]!s_stm07_is($C$6,"W66823304",V6,1,1000000)</f>
        <v>53787</v>
      </c>
      <c r="W94" s="81">
        <f>[2]!s_stm07_is($C$6,"W66823304",W6,1,1000000)</f>
        <v>109481</v>
      </c>
      <c r="X94" s="81">
        <f>[2]!s_stm07_is($C$6,"W66823304",X6,1,1000000)</f>
        <v>163840</v>
      </c>
      <c r="Y94" s="81">
        <f>[2]!s_stm07_is($C$6,"W66823304",Y6,1,1000000)</f>
        <v>208265</v>
      </c>
      <c r="Z94" s="81">
        <f>[2]!s_stm07_is($C$6,"W66823304",Z6,1,1000000)</f>
        <v>61335</v>
      </c>
      <c r="AA94" s="81">
        <f>[2]!s_stm07_is($C$6,"W66823304",AA6,1,1000000)</f>
        <v>123160</v>
      </c>
      <c r="AB94" s="81">
        <f>[2]!s_stm07_is($C$6,"W66823304",AB6,1,1000000)</f>
        <v>185602</v>
      </c>
      <c r="AC94" s="81">
        <f>[2]!s_stm07_is($C$6,"W66823304",AC6,1,1000000)</f>
        <v>238532</v>
      </c>
      <c r="AD94" s="81">
        <f>[2]!s_stm07_is($C$6,"W66823304",AD6,1,1000000)</f>
        <v>68743</v>
      </c>
      <c r="AE94" s="81">
        <f>[2]!s_stm07_is($C$6,"W66823304",AE6,1,1000000)</f>
        <v>138347</v>
      </c>
      <c r="AF94" s="81">
        <f>[2]!s_stm07_is($C$6,"W66823304",AF6,1,1000000)</f>
        <v>205533</v>
      </c>
      <c r="AG94" s="81">
        <f>[2]!s_stm07_is($C$6,"W66823304",AG6,1,1000000)</f>
        <v>262649</v>
      </c>
      <c r="AH94" s="81">
        <f>[2]!s_stm07_is($C$6,"W66823304",AH6,1,1000000)</f>
        <v>73302</v>
      </c>
      <c r="AI94" s="81">
        <f>[2]!s_stm07_is($C$6,"W66823304",AI6,1,1000000)</f>
        <v>148100</v>
      </c>
      <c r="AJ94" s="81">
        <f>[2]!s_stm07_is($C$6,"W66823304",AJ6,1,1000000)</f>
        <v>220464</v>
      </c>
      <c r="AK94" s="81">
        <f>[2]!s_stm07_is($C$6,"W66823304",AK6,1,1000000)</f>
        <v>275811</v>
      </c>
      <c r="AL94" s="81">
        <f>[2]!s_stm07_is($C$6,"W66823304",AL6,1,1000000)</f>
        <v>74324</v>
      </c>
      <c r="AM94" s="81">
        <f>[2]!s_stm07_is($C$6,"W66823304",AM6,1,1000000)</f>
        <v>149021</v>
      </c>
      <c r="AN94" s="81">
        <f>[2]!s_stm07_is($C$6,"W66823304",AN6,1,1000000)</f>
        <v>221761</v>
      </c>
      <c r="AO94" s="81">
        <f>[2]!s_stm07_is($C$6,"W66823304",AO6,1,1000000)</f>
        <v>277131</v>
      </c>
      <c r="AP94" s="81">
        <f>[2]!s_stm07_is($C$6,"W66823304",AP6,1,1000000)</f>
        <v>74764</v>
      </c>
      <c r="AQ94" s="81">
        <f>[2]!s_stm07_is($C$6,"W66823304",AQ6,1,1000000)</f>
        <v>150217</v>
      </c>
      <c r="AR94" s="81">
        <f>[2]!s_stm07_is($C$6,"W66823304",AR6,1,1000000)</f>
        <v>222792</v>
      </c>
      <c r="AS94" s="81">
        <f>[2]!s_stm07_is($C$6,"W66823304",AS6,1,1000000)</f>
        <v>278249</v>
      </c>
      <c r="AT94" s="81">
        <f>[2]!s_stm07_is($C$6,"W66823304",AT6,1,1000000)</f>
        <v>75786</v>
      </c>
    </row>
    <row r="95" spans="3:48" ht="13.15" thickBot="1" x14ac:dyDescent="0.4">
      <c r="C95" s="70" t="s">
        <v>120</v>
      </c>
      <c r="E95" s="24">
        <f>E93-E94</f>
        <v>3185</v>
      </c>
      <c r="F95" s="24">
        <f t="shared" ref="F95:AS95" si="19">F93-F94</f>
        <v>60</v>
      </c>
      <c r="G95" s="24">
        <f t="shared" si="19"/>
        <v>177</v>
      </c>
      <c r="H95" s="24">
        <f t="shared" si="19"/>
        <v>285</v>
      </c>
      <c r="I95" s="24">
        <f t="shared" si="19"/>
        <v>457</v>
      </c>
      <c r="J95" s="24">
        <f t="shared" si="19"/>
        <v>104</v>
      </c>
      <c r="K95" s="24">
        <f t="shared" si="19"/>
        <v>-12</v>
      </c>
      <c r="L95" s="24">
        <f t="shared" si="19"/>
        <v>-68</v>
      </c>
      <c r="M95" s="24">
        <f t="shared" si="19"/>
        <v>385</v>
      </c>
      <c r="N95" s="24">
        <f t="shared" si="19"/>
        <v>136</v>
      </c>
      <c r="O95" s="24">
        <f t="shared" si="19"/>
        <v>300</v>
      </c>
      <c r="P95" s="24">
        <f t="shared" si="19"/>
        <v>525</v>
      </c>
      <c r="Q95" s="24">
        <f t="shared" si="19"/>
        <v>751</v>
      </c>
      <c r="R95" s="24">
        <f t="shared" si="19"/>
        <v>178</v>
      </c>
      <c r="S95" s="24">
        <f t="shared" si="19"/>
        <v>362</v>
      </c>
      <c r="T95" s="24">
        <f t="shared" si="19"/>
        <v>579</v>
      </c>
      <c r="U95" s="24">
        <f t="shared" si="19"/>
        <v>869</v>
      </c>
      <c r="V95" s="24">
        <f t="shared" si="19"/>
        <v>49</v>
      </c>
      <c r="W95" s="24">
        <f t="shared" si="19"/>
        <v>94</v>
      </c>
      <c r="X95" s="24">
        <f t="shared" si="19"/>
        <v>138</v>
      </c>
      <c r="Y95" s="24">
        <f t="shared" si="19"/>
        <v>180</v>
      </c>
      <c r="Z95" s="24">
        <f t="shared" si="19"/>
        <v>37</v>
      </c>
      <c r="AA95" s="24">
        <f t="shared" si="19"/>
        <v>81</v>
      </c>
      <c r="AB95" s="24">
        <f t="shared" si="19"/>
        <v>109</v>
      </c>
      <c r="AC95" s="24">
        <f t="shared" si="19"/>
        <v>159</v>
      </c>
      <c r="AD95" s="24">
        <f t="shared" si="19"/>
        <v>70</v>
      </c>
      <c r="AE95" s="24">
        <f t="shared" si="19"/>
        <v>130</v>
      </c>
      <c r="AF95" s="24">
        <f t="shared" si="19"/>
        <v>238</v>
      </c>
      <c r="AG95" s="24">
        <f t="shared" si="19"/>
        <v>316</v>
      </c>
      <c r="AH95" s="24">
        <f t="shared" si="19"/>
        <v>159</v>
      </c>
      <c r="AI95" s="24">
        <f t="shared" si="19"/>
        <v>281</v>
      </c>
      <c r="AJ95" s="24">
        <f t="shared" si="19"/>
        <v>391</v>
      </c>
      <c r="AK95" s="24">
        <f t="shared" si="19"/>
        <v>475</v>
      </c>
      <c r="AL95" s="24">
        <f t="shared" si="19"/>
        <v>133</v>
      </c>
      <c r="AM95" s="24">
        <f t="shared" si="19"/>
        <v>405</v>
      </c>
      <c r="AN95" s="24">
        <f t="shared" si="19"/>
        <v>530</v>
      </c>
      <c r="AO95" s="24">
        <f t="shared" si="19"/>
        <v>589</v>
      </c>
      <c r="AP95" s="24">
        <f t="shared" si="19"/>
        <v>140</v>
      </c>
      <c r="AQ95" s="24">
        <f t="shared" si="19"/>
        <v>439</v>
      </c>
      <c r="AR95" s="24">
        <f t="shared" si="19"/>
        <v>676</v>
      </c>
      <c r="AS95" s="24">
        <f t="shared" si="19"/>
        <v>857</v>
      </c>
      <c r="AT95" s="24">
        <f>AT93-AT94</f>
        <v>241</v>
      </c>
    </row>
    <row r="96" spans="3:48" s="44" customFormat="1" x14ac:dyDescent="0.35">
      <c r="C96" s="44" t="s">
        <v>121</v>
      </c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>
        <v>-3193</v>
      </c>
      <c r="Q96" s="82">
        <v>-3072</v>
      </c>
      <c r="R96" s="82">
        <v>1838</v>
      </c>
      <c r="S96" s="82">
        <v>1819</v>
      </c>
      <c r="T96" s="82">
        <v>2704</v>
      </c>
      <c r="U96" s="82">
        <v>-1582</v>
      </c>
      <c r="V96" s="82">
        <v>-37</v>
      </c>
      <c r="W96" s="82">
        <v>-917</v>
      </c>
      <c r="X96" s="82">
        <v>-2288</v>
      </c>
      <c r="Y96" s="82">
        <v>1119</v>
      </c>
      <c r="Z96" s="82">
        <v>248</v>
      </c>
      <c r="AA96" s="82">
        <v>2035</v>
      </c>
      <c r="AB96" s="82">
        <v>159</v>
      </c>
      <c r="AC96" s="82">
        <v>-747</v>
      </c>
      <c r="AD96" s="82">
        <v>1067</v>
      </c>
      <c r="AE96" s="82">
        <v>-663</v>
      </c>
      <c r="AF96" s="82">
        <v>-2722</v>
      </c>
      <c r="AG96" s="82">
        <v>-6671</v>
      </c>
      <c r="AH96" s="82">
        <v>2925</v>
      </c>
      <c r="AI96" s="82">
        <v>5648</v>
      </c>
      <c r="AJ96" s="82">
        <v>6282</v>
      </c>
      <c r="AK96" s="82">
        <v>8665</v>
      </c>
      <c r="AL96" s="82">
        <v>-309</v>
      </c>
      <c r="AM96" s="82">
        <v>1592</v>
      </c>
      <c r="AN96" s="82">
        <v>2955</v>
      </c>
      <c r="AO96" s="82">
        <v>5605</v>
      </c>
      <c r="AP96" s="82">
        <v>-16</v>
      </c>
      <c r="AQ96" s="82">
        <v>-458</v>
      </c>
      <c r="AR96" s="82">
        <v>865</v>
      </c>
      <c r="AS96" s="82">
        <v>-3131</v>
      </c>
      <c r="AT96" s="83">
        <v>-1693</v>
      </c>
      <c r="AU96" s="84"/>
      <c r="AV96" s="85"/>
    </row>
    <row r="97" spans="2:48" ht="13.15" x14ac:dyDescent="0.4">
      <c r="C97" s="78" t="s">
        <v>122</v>
      </c>
      <c r="E97" s="54">
        <f t="shared" ref="E97:AS97" si="20">E98+E99</f>
        <v>0</v>
      </c>
      <c r="F97" s="54">
        <f t="shared" si="20"/>
        <v>0</v>
      </c>
      <c r="G97" s="54">
        <f t="shared" si="20"/>
        <v>0</v>
      </c>
      <c r="H97" s="54">
        <f t="shared" si="20"/>
        <v>0</v>
      </c>
      <c r="I97" s="54">
        <f t="shared" si="20"/>
        <v>0</v>
      </c>
      <c r="J97" s="54">
        <f t="shared" si="20"/>
        <v>0</v>
      </c>
      <c r="K97" s="54">
        <f t="shared" si="20"/>
        <v>0</v>
      </c>
      <c r="L97" s="54">
        <f t="shared" si="20"/>
        <v>0</v>
      </c>
      <c r="M97" s="54">
        <f t="shared" si="20"/>
        <v>0</v>
      </c>
      <c r="N97" s="54">
        <f t="shared" si="20"/>
        <v>0</v>
      </c>
      <c r="O97" s="54">
        <f t="shared" si="20"/>
        <v>68933</v>
      </c>
      <c r="P97" s="54">
        <f t="shared" si="20"/>
        <v>99009</v>
      </c>
      <c r="Q97" s="54">
        <f t="shared" si="20"/>
        <v>126915</v>
      </c>
      <c r="R97" s="54">
        <f t="shared" si="20"/>
        <v>45421</v>
      </c>
      <c r="S97" s="54">
        <f t="shared" si="20"/>
        <v>87535</v>
      </c>
      <c r="T97" s="54">
        <f t="shared" si="20"/>
        <v>134342</v>
      </c>
      <c r="U97" s="54">
        <f t="shared" si="20"/>
        <v>161953</v>
      </c>
      <c r="V97" s="54">
        <f t="shared" si="20"/>
        <v>50585</v>
      </c>
      <c r="W97" s="54">
        <f t="shared" si="20"/>
        <v>102262</v>
      </c>
      <c r="X97" s="54">
        <f t="shared" si="20"/>
        <v>144614</v>
      </c>
      <c r="Y97" s="54">
        <f t="shared" si="20"/>
        <v>200494</v>
      </c>
      <c r="Z97" s="54">
        <f t="shared" si="20"/>
        <v>64281</v>
      </c>
      <c r="AA97" s="54">
        <f t="shared" si="20"/>
        <v>129709</v>
      </c>
      <c r="AB97" s="54">
        <f t="shared" si="20"/>
        <v>186765</v>
      </c>
      <c r="AC97" s="54">
        <f t="shared" si="20"/>
        <v>237513</v>
      </c>
      <c r="AD97" s="54">
        <f t="shared" si="20"/>
        <v>69143</v>
      </c>
      <c r="AE97" s="54">
        <f t="shared" si="20"/>
        <v>129999</v>
      </c>
      <c r="AF97" s="54">
        <f t="shared" si="20"/>
        <v>187138</v>
      </c>
      <c r="AG97" s="54">
        <f t="shared" si="20"/>
        <v>226336</v>
      </c>
      <c r="AH97" s="54">
        <f t="shared" si="20"/>
        <v>84453</v>
      </c>
      <c r="AI97" s="54">
        <f t="shared" si="20"/>
        <v>172946</v>
      </c>
      <c r="AJ97" s="54">
        <f t="shared" si="20"/>
        <v>245458</v>
      </c>
      <c r="AK97" s="54">
        <f t="shared" si="20"/>
        <v>308853</v>
      </c>
      <c r="AL97" s="54">
        <f t="shared" si="20"/>
        <v>70537</v>
      </c>
      <c r="AM97" s="54">
        <f t="shared" si="20"/>
        <v>153641</v>
      </c>
      <c r="AN97" s="54">
        <f t="shared" si="20"/>
        <v>230765</v>
      </c>
      <c r="AO97" s="54">
        <f t="shared" si="20"/>
        <v>298125</v>
      </c>
      <c r="AP97" s="54">
        <f t="shared" si="20"/>
        <v>73564</v>
      </c>
      <c r="AQ97" s="54">
        <f t="shared" si="20"/>
        <v>150442</v>
      </c>
      <c r="AR97" s="54">
        <f t="shared" si="20"/>
        <v>229985</v>
      </c>
      <c r="AS97" s="54">
        <f t="shared" si="20"/>
        <v>261591</v>
      </c>
      <c r="AT97" s="54">
        <f>AT98+AT99</f>
        <v>63223</v>
      </c>
      <c r="AU97" s="86"/>
      <c r="AV97" s="87"/>
    </row>
    <row r="98" spans="2:48" x14ac:dyDescent="0.35">
      <c r="C98" s="17" t="s">
        <v>123</v>
      </c>
      <c r="E98" s="88">
        <f>[2]!s_stm07_is($C$6,"W62388262",E6,1,1000000)</f>
        <v>0</v>
      </c>
      <c r="F98" s="88">
        <f>[2]!s_stm07_is($C$6,"W62388262",F6,1,1000000)</f>
        <v>0</v>
      </c>
      <c r="G98" s="88">
        <f>[2]!s_stm07_is($C$6,"W62388262",G6,1,1000000)</f>
        <v>0</v>
      </c>
      <c r="H98" s="88">
        <f>[2]!s_stm07_is($C$6,"W62388262",H6,1,1000000)</f>
        <v>0</v>
      </c>
      <c r="I98" s="88">
        <f>[2]!s_stm07_is($C$6,"W62388262",I6,1,1000000)</f>
        <v>0</v>
      </c>
      <c r="J98" s="88">
        <f>[2]!s_stm07_is($C$6,"W62388262",J6,1,1000000)</f>
        <v>0</v>
      </c>
      <c r="K98" s="88">
        <f>[2]!s_stm07_is($C$6,"W62388262",K6,1,1000000)</f>
        <v>0</v>
      </c>
      <c r="L98" s="88">
        <f>[2]!s_stm07_is($C$6,"W62388262",L6,1,1000000)</f>
        <v>0</v>
      </c>
      <c r="M98" s="88">
        <f>[2]!s_stm07_is($C$6,"W62388262",M6,1,1000000)</f>
        <v>0</v>
      </c>
      <c r="N98" s="88">
        <f>[2]!s_stm07_is($C$6,"W62388262",N6,1,1000000)</f>
        <v>0</v>
      </c>
      <c r="O98" s="88">
        <f>[2]!s_stm07_is($C$6,"W62388262",O6,1,1000000)</f>
        <v>68349</v>
      </c>
      <c r="P98" s="88">
        <f>[2]!s_stm07_is($C$6,"W62388262",P6,1,1000000)</f>
        <v>98033</v>
      </c>
      <c r="Q98" s="88">
        <f>[2]!s_stm07_is($C$6,"W62388262",Q6,1,1000000)</f>
        <v>125724</v>
      </c>
      <c r="R98" s="88">
        <f>[2]!s_stm07_is($C$6,"W62388262",R6,1,1000000)</f>
        <v>45196</v>
      </c>
      <c r="S98" s="88">
        <f>[2]!s_stm07_is($C$6,"W62388262",S6,1,1000000)</f>
        <v>87188</v>
      </c>
      <c r="T98" s="88">
        <f>[2]!s_stm07_is($C$6,"W62388262",T6,1,1000000)</f>
        <v>133756</v>
      </c>
      <c r="U98" s="88">
        <f>[2]!s_stm07_is($C$6,"W62388262",U6,1,1000000)</f>
        <v>161316</v>
      </c>
      <c r="V98" s="88">
        <f>[2]!s_stm07_is($C$6,"W62388262",V6,1,1000000)</f>
        <v>50541</v>
      </c>
      <c r="W98" s="88">
        <f>[2]!s_stm07_is($C$6,"W62388262",W6,1,1000000)</f>
        <v>102182</v>
      </c>
      <c r="X98" s="88">
        <f>[2]!s_stm07_is($C$6,"W62388262",X6,1,1000000)</f>
        <v>144527</v>
      </c>
      <c r="Y98" s="88">
        <f>[2]!s_stm07_is($C$6,"W62388262",Y6,1,1000000)</f>
        <v>200368</v>
      </c>
      <c r="Z98" s="88">
        <f>[2]!s_stm07_is($C$6,"W62388262",Z6,1,1000000)</f>
        <v>64234</v>
      </c>
      <c r="AA98" s="88">
        <f>[2]!s_stm07_is($C$6,"W62388262",AA6,1,1000000)</f>
        <v>129619</v>
      </c>
      <c r="AB98" s="88">
        <f>[2]!s_stm07_is($C$6,"W62388262",AB6,1,1000000)</f>
        <v>186651</v>
      </c>
      <c r="AC98" s="88">
        <f>[2]!s_stm07_is($C$6,"W62388262",AC6,1,1000000)</f>
        <v>237245</v>
      </c>
      <c r="AD98" s="88">
        <f>[2]!s_stm07_is($C$6,"W62388262",AD6,1,1000000)</f>
        <v>69090</v>
      </c>
      <c r="AE98" s="88">
        <f>[2]!s_stm07_is($C$6,"W62388262",AE6,1,1000000)</f>
        <v>129968</v>
      </c>
      <c r="AF98" s="88">
        <f>[2]!s_stm07_is($C$6,"W62388262",AF6,1,1000000)</f>
        <v>187064</v>
      </c>
      <c r="AG98" s="88">
        <f>[2]!s_stm07_is($C$6,"W62388262",AG6,1,1000000)</f>
        <v>226375</v>
      </c>
      <c r="AH98" s="88">
        <f>[2]!s_stm07_is($C$6,"W62388262",AH6,1,1000000)</f>
        <v>84347</v>
      </c>
      <c r="AI98" s="88">
        <f>[2]!s_stm07_is($C$6,"W62388262",AI6,1,1000000)</f>
        <v>172629</v>
      </c>
      <c r="AJ98" s="88">
        <f>[2]!s_stm07_is($C$6,"W62388262",AJ6,1,1000000)</f>
        <v>245007</v>
      </c>
      <c r="AK98" s="88">
        <f>[2]!s_stm07_is($C$6,"W62388262",AK6,1,1000000)</f>
        <v>308122</v>
      </c>
      <c r="AL98" s="88">
        <f>[2]!s_stm07_is($C$6,"W62388262",AL6,1,1000000)</f>
        <v>70229</v>
      </c>
      <c r="AM98" s="88">
        <f>[2]!s_stm07_is($C$6,"W62388262",AM6,1,1000000)</f>
        <v>152961</v>
      </c>
      <c r="AN98" s="88">
        <f>[2]!s_stm07_is($C$6,"W62388262",AN6,1,1000000)</f>
        <v>230128</v>
      </c>
      <c r="AO98" s="88">
        <f>[2]!s_stm07_is($C$6,"W62388262",AO6,1,1000000)</f>
        <v>297024</v>
      </c>
      <c r="AP98" s="88">
        <f>[2]!s_stm07_is($C$6,"W62388262",AP6,1,1000000)</f>
        <v>73701</v>
      </c>
      <c r="AQ98" s="88">
        <f>[2]!s_stm07_is($C$6,"W62388262",AQ6,1,1000000)</f>
        <v>150245</v>
      </c>
      <c r="AR98" s="88">
        <f>[2]!s_stm07_is($C$6,"W62388262",AR6,1,1000000)</f>
        <v>229264</v>
      </c>
      <c r="AS98" s="88">
        <f>[2]!s_stm07_is($C$6,"W62388262",AS6,1,1000000)</f>
        <v>261166</v>
      </c>
      <c r="AT98" s="89">
        <f>[2]!s_stm07_is($C$6,"W62388262",AT6,1,1000000)</f>
        <v>63143</v>
      </c>
      <c r="AU98" s="86"/>
      <c r="AV98" s="87"/>
    </row>
    <row r="99" spans="2:48" ht="13.15" thickBot="1" x14ac:dyDescent="0.4">
      <c r="C99" s="70" t="s">
        <v>124</v>
      </c>
      <c r="E99" s="88">
        <f>[2]!s_stm07_is($C$6,"W47116209",E6,1,1000000)</f>
        <v>0</v>
      </c>
      <c r="F99" s="88">
        <f>[2]!s_stm07_is($C$6,"W47116209",F6,1,1000000)</f>
        <v>0</v>
      </c>
      <c r="G99" s="88">
        <f>[2]!s_stm07_is($C$6,"W47116209",G6,1,1000000)</f>
        <v>0</v>
      </c>
      <c r="H99" s="88">
        <f>[2]!s_stm07_is($C$6,"W47116209",H6,1,1000000)</f>
        <v>0</v>
      </c>
      <c r="I99" s="88">
        <f>[2]!s_stm07_is($C$6,"W47116209",I6,1,1000000)</f>
        <v>0</v>
      </c>
      <c r="J99" s="88">
        <f>[2]!s_stm07_is($C$6,"W47116209",J6,1,1000000)</f>
        <v>0</v>
      </c>
      <c r="K99" s="88">
        <f>[2]!s_stm07_is($C$6,"W47116209",K6,1,1000000)</f>
        <v>0</v>
      </c>
      <c r="L99" s="88">
        <f>[2]!s_stm07_is($C$6,"W47116209",L6,1,1000000)</f>
        <v>0</v>
      </c>
      <c r="M99" s="88">
        <f>[2]!s_stm07_is($C$6,"W47116209",M6,1,1000000)</f>
        <v>0</v>
      </c>
      <c r="N99" s="88">
        <f>[2]!s_stm07_is($C$6,"W47116209",N6,1,1000000)</f>
        <v>0</v>
      </c>
      <c r="O99" s="88">
        <f>[2]!s_stm07_is($C$6,"W47116209",O6,1,1000000)</f>
        <v>584</v>
      </c>
      <c r="P99" s="88">
        <f>[2]!s_stm07_is($C$6,"W47116209",P6,1,1000000)</f>
        <v>976</v>
      </c>
      <c r="Q99" s="88">
        <f>[2]!s_stm07_is($C$6,"W47116209",Q6,1,1000000)</f>
        <v>1191</v>
      </c>
      <c r="R99" s="88">
        <f>[2]!s_stm07_is($C$6,"W47116209",R6,1,1000000)</f>
        <v>225</v>
      </c>
      <c r="S99" s="88">
        <f>[2]!s_stm07_is($C$6,"W47116209",S6,1,1000000)</f>
        <v>347</v>
      </c>
      <c r="T99" s="88">
        <f>[2]!s_stm07_is($C$6,"W47116209",T6,1,1000000)</f>
        <v>586</v>
      </c>
      <c r="U99" s="88">
        <f>[2]!s_stm07_is($C$6,"W47116209",U6,1,1000000)</f>
        <v>637</v>
      </c>
      <c r="V99" s="88">
        <f>[2]!s_stm07_is($C$6,"W47116209",V6,1,1000000)</f>
        <v>44</v>
      </c>
      <c r="W99" s="88">
        <f>[2]!s_stm07_is($C$6,"W47116209",W6,1,1000000)</f>
        <v>80</v>
      </c>
      <c r="X99" s="88">
        <f>[2]!s_stm07_is($C$6,"W47116209",X6,1,1000000)</f>
        <v>87</v>
      </c>
      <c r="Y99" s="88">
        <f>[2]!s_stm07_is($C$6,"W47116209",Y6,1,1000000)</f>
        <v>126</v>
      </c>
      <c r="Z99" s="88">
        <f>[2]!s_stm07_is($C$6,"W47116209",Z6,1,1000000)</f>
        <v>47</v>
      </c>
      <c r="AA99" s="88">
        <f>[2]!s_stm07_is($C$6,"W47116209",AA6,1,1000000)</f>
        <v>90</v>
      </c>
      <c r="AB99" s="88">
        <f>[2]!s_stm07_is($C$6,"W47116209",AB6,1,1000000)</f>
        <v>114</v>
      </c>
      <c r="AC99" s="88">
        <f>[2]!s_stm07_is($C$6,"W47116209",AC6,1,1000000)</f>
        <v>268</v>
      </c>
      <c r="AD99" s="88">
        <f>[2]!s_stm07_is($C$6,"W47116209",AD6,1,1000000)</f>
        <v>53</v>
      </c>
      <c r="AE99" s="88">
        <f>[2]!s_stm07_is($C$6,"W47116209",AE6,1,1000000)</f>
        <v>31</v>
      </c>
      <c r="AF99" s="88">
        <f>[2]!s_stm07_is($C$6,"W47116209",AF6,1,1000000)</f>
        <v>74</v>
      </c>
      <c r="AG99" s="88">
        <f>[2]!s_stm07_is($C$6,"W47116209",AG6,1,1000000)</f>
        <v>-39</v>
      </c>
      <c r="AH99" s="88">
        <f>[2]!s_stm07_is($C$6,"W47116209",AH6,1,1000000)</f>
        <v>106</v>
      </c>
      <c r="AI99" s="88">
        <f>[2]!s_stm07_is($C$6,"W47116209",AI6,1,1000000)</f>
        <v>317</v>
      </c>
      <c r="AJ99" s="88">
        <f>[2]!s_stm07_is($C$6,"W47116209",AJ6,1,1000000)</f>
        <v>451</v>
      </c>
      <c r="AK99" s="88">
        <f>[2]!s_stm07_is($C$6,"W47116209",AK6,1,1000000)</f>
        <v>731</v>
      </c>
      <c r="AL99" s="88">
        <f>[2]!s_stm07_is($C$6,"W47116209",AL6,1,1000000)</f>
        <v>308</v>
      </c>
      <c r="AM99" s="88">
        <f>[2]!s_stm07_is($C$6,"W47116209",AM6,1,1000000)</f>
        <v>680</v>
      </c>
      <c r="AN99" s="88">
        <f>[2]!s_stm07_is($C$6,"W47116209",AN6,1,1000000)</f>
        <v>637</v>
      </c>
      <c r="AO99" s="88">
        <f>[2]!s_stm07_is($C$6,"W47116209",AO6,1,1000000)</f>
        <v>1101</v>
      </c>
      <c r="AP99" s="88">
        <f>[2]!s_stm07_is($C$6,"W47116209",AP6,1,1000000)</f>
        <v>-137</v>
      </c>
      <c r="AQ99" s="88">
        <f>[2]!s_stm07_is($C$6,"W47116209",AQ6,1,1000000)</f>
        <v>197</v>
      </c>
      <c r="AR99" s="88">
        <f>[2]!s_stm07_is($C$6,"W47116209",AR6,1,1000000)</f>
        <v>721</v>
      </c>
      <c r="AS99" s="88">
        <f>[2]!s_stm07_is($C$6,"W47116209",AS6,1,1000000)</f>
        <v>425</v>
      </c>
      <c r="AT99" s="89">
        <f>[2]!s_stm07_is($C$6,"W47116209",AT6,1,1000000)</f>
        <v>80</v>
      </c>
      <c r="AU99" s="86"/>
      <c r="AV99" s="87"/>
    </row>
    <row r="100" spans="2:48" ht="13.15" thickBot="1" x14ac:dyDescent="0.4">
      <c r="AU100" s="86"/>
      <c r="AV100" s="86"/>
    </row>
    <row r="101" spans="2:48" ht="13.15" x14ac:dyDescent="0.4">
      <c r="C101" s="90" t="s">
        <v>125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</row>
    <row r="102" spans="2:48" x14ac:dyDescent="0.35">
      <c r="C102" s="38" t="s">
        <v>126</v>
      </c>
      <c r="E102" s="91">
        <f>[2]!s_stm07_is($C$6,"W88363141",E6,1,1)</f>
        <v>0.17</v>
      </c>
      <c r="F102" s="91">
        <f>[2]!s_stm07_is($C$6,"W88363141",F6,1,1)</f>
        <v>0.06</v>
      </c>
      <c r="G102" s="91">
        <f>[2]!s_stm07_is($C$6,"W88363141",G6,1,1)</f>
        <v>0.12</v>
      </c>
      <c r="H102" s="91">
        <f>[2]!s_stm07_is($C$6,"W88363141",H6,1,1)</f>
        <v>0.19</v>
      </c>
      <c r="I102" s="91">
        <f>[2]!s_stm07_is($C$6,"W88363141",I6,1,1)</f>
        <v>0.24</v>
      </c>
      <c r="J102" s="91">
        <f>[2]!s_stm07_is($C$6,"W88363141",J6,1,1)</f>
        <v>0.1</v>
      </c>
      <c r="K102" s="91">
        <f>[2]!s_stm07_is($C$6,"W88363141",K6,1,1)</f>
        <v>0.19</v>
      </c>
      <c r="L102" s="91">
        <f>[2]!s_stm07_is($C$6,"W88363141",L6,1,1)</f>
        <v>0.28000000000000003</v>
      </c>
      <c r="M102" s="91">
        <f>[2]!s_stm07_is($C$6,"W88363141",M6,1,1)</f>
        <v>0.33</v>
      </c>
      <c r="N102" s="91">
        <f>[2]!s_stm07_is($C$6,"W88363141",N6,1,1)</f>
        <v>0.11</v>
      </c>
      <c r="O102" s="91">
        <f>[2]!s_stm07_is($C$6,"W88363141",O6,1,1)</f>
        <v>0.2</v>
      </c>
      <c r="P102" s="91">
        <f>[2]!s_stm07_is($C$6,"W88363141",P6,1,1)</f>
        <v>0.3</v>
      </c>
      <c r="Q102" s="91">
        <f>[2]!s_stm07_is($C$6,"W88363141",Q6,1,1)</f>
        <v>0.39</v>
      </c>
      <c r="R102" s="91">
        <f>[2]!s_stm07_is($C$6,"W88363141",R6,1,1)</f>
        <v>0.12</v>
      </c>
      <c r="S102" s="91">
        <f>[2]!s_stm07_is($C$6,"W88363141",S6,1,1)</f>
        <v>0.25</v>
      </c>
      <c r="T102" s="91">
        <f>[2]!s_stm07_is($C$6,"W88363141",T6,1,1)</f>
        <v>0.38</v>
      </c>
      <c r="U102" s="91">
        <f>[2]!s_stm07_is($C$6,"W88363141",U6,1,1)</f>
        <v>0.48</v>
      </c>
      <c r="V102" s="91">
        <f>[2]!s_stm07_is($C$6,"W88363141",V6,1,1)</f>
        <v>0.15</v>
      </c>
      <c r="W102" s="91">
        <f>[2]!s_stm07_is($C$6,"W88363141",W6,1,1)</f>
        <v>0.31</v>
      </c>
      <c r="X102" s="91">
        <f>[2]!s_stm07_is($C$6,"W88363141",X6,1,1)</f>
        <v>0.47</v>
      </c>
      <c r="Y102" s="91">
        <f>[2]!s_stm07_is($C$6,"W88363141",Y6,1,1)</f>
        <v>0.6</v>
      </c>
      <c r="Z102" s="91">
        <f>[2]!s_stm07_is($C$6,"W88363141",Z6,1,1)</f>
        <v>0.18</v>
      </c>
      <c r="AA102" s="91">
        <f>[2]!s_stm07_is($C$6,"W88363141",AA6,1,1)</f>
        <v>0.35</v>
      </c>
      <c r="AB102" s="91">
        <f>[2]!s_stm07_is($C$6,"W88363141",AB6,1,1)</f>
        <v>0.53</v>
      </c>
      <c r="AC102" s="91">
        <f>[2]!s_stm07_is($C$6,"W88363141",AC6,1,1)</f>
        <v>0.68</v>
      </c>
      <c r="AD102" s="91">
        <f>[2]!s_stm07_is($C$6,"W88363141",AD6,1,1)</f>
        <v>0.2</v>
      </c>
      <c r="AE102" s="91">
        <f>[2]!s_stm07_is($C$6,"W88363141",AE6,1,1)</f>
        <v>0.4</v>
      </c>
      <c r="AF102" s="91">
        <f>[2]!s_stm07_is($C$6,"W88363141",AF6,1,1)</f>
        <v>0.59</v>
      </c>
      <c r="AG102" s="91">
        <f>[2]!s_stm07_is($C$6,"W88363141",AG6,1,1)</f>
        <v>0.75</v>
      </c>
      <c r="AH102" s="91">
        <f>[2]!s_stm07_is($C$6,"W88363141",AH6,1,1)</f>
        <v>0.21</v>
      </c>
      <c r="AI102" s="91">
        <f>[2]!s_stm07_is($C$6,"W88363141",AI6,1,1)</f>
        <v>0.42</v>
      </c>
      <c r="AJ102" s="91">
        <f>[2]!s_stm07_is($C$6,"W88363141",AJ6,1,1)</f>
        <v>0.63</v>
      </c>
      <c r="AK102" s="91">
        <f>[2]!s_stm07_is($C$6,"W88363141",AK6,1,1)</f>
        <v>0.78</v>
      </c>
      <c r="AL102" s="91">
        <f>[2]!s_stm07_is($C$6,"W88363141",AL6,1,1)</f>
        <v>0.21</v>
      </c>
      <c r="AM102" s="91">
        <f>[2]!s_stm07_is($C$6,"W88363141",AM6,1,1)</f>
        <v>0.42</v>
      </c>
      <c r="AN102" s="91">
        <f>[2]!s_stm07_is($C$6,"W88363141",AN6,1,1)</f>
        <v>0.62</v>
      </c>
      <c r="AO102" s="91">
        <f>[2]!s_stm07_is($C$6,"W88363141",AO6,1,1)</f>
        <v>0.77</v>
      </c>
      <c r="AP102" s="91">
        <f>[2]!s_stm07_is($C$6,"W88363141",AP6,1,1)</f>
        <v>0.21</v>
      </c>
      <c r="AQ102" s="91">
        <f>[2]!s_stm07_is($C$6,"W88363141",AQ6,1,1)</f>
        <v>0.42</v>
      </c>
      <c r="AR102" s="91">
        <f>[2]!s_stm07_is($C$6,"W88363141",AR6,1,1)</f>
        <v>0.63</v>
      </c>
      <c r="AS102" s="91">
        <f>[2]!s_stm07_is($C$6,"W88363141",AS6,1,1)</f>
        <v>0.77</v>
      </c>
      <c r="AT102" s="91">
        <f>[2]!s_stm07_is($C$6,"W88363141",AT6,1,1)</f>
        <v>0.21</v>
      </c>
    </row>
    <row r="103" spans="2:48" ht="13.15" thickBot="1" x14ac:dyDescent="0.4">
      <c r="C103" s="92" t="s">
        <v>127</v>
      </c>
      <c r="E103" s="93">
        <f>[2]!s_stm07_is($C$6,"W85526134",E6,1,1)</f>
        <v>0.17</v>
      </c>
      <c r="F103" s="93">
        <f>[2]!s_stm07_is($C$6,"W85526134",F6,1,1)</f>
        <v>0.06</v>
      </c>
      <c r="G103" s="93">
        <f>[2]!s_stm07_is($C$6,"W85526134",G6,1,1)</f>
        <v>0.12</v>
      </c>
      <c r="H103" s="93">
        <f>[2]!s_stm07_is($C$6,"W85526134",H6,1,1)</f>
        <v>0.19</v>
      </c>
      <c r="I103" s="93">
        <f>[2]!s_stm07_is($C$6,"W85526134",I6,1,1)</f>
        <v>0.24</v>
      </c>
      <c r="J103" s="93">
        <f>[2]!s_stm07_is($C$6,"W85526134",J6,1,1)</f>
        <v>0.1</v>
      </c>
      <c r="K103" s="93">
        <f>[2]!s_stm07_is($C$6,"W85526134",K6,1,1)</f>
        <v>0.19</v>
      </c>
      <c r="L103" s="93">
        <f>[2]!s_stm07_is($C$6,"W85526134",L6,1,1)</f>
        <v>0.28000000000000003</v>
      </c>
      <c r="M103" s="93">
        <f>[2]!s_stm07_is($C$6,"W85526134",M6,1,1)</f>
        <v>0.33</v>
      </c>
      <c r="N103" s="93">
        <f>[2]!s_stm07_is($C$6,"W85526134",N6,1,1)</f>
        <v>0.11</v>
      </c>
      <c r="O103" s="93">
        <f>[2]!s_stm07_is($C$6,"W85526134",O6,1,1)</f>
        <v>0.2</v>
      </c>
      <c r="P103" s="93">
        <f>[2]!s_stm07_is($C$6,"W85526134",P6,1,1)</f>
        <v>0.3</v>
      </c>
      <c r="Q103" s="93">
        <f>[2]!s_stm07_is($C$6,"W85526134",Q6,1,1)</f>
        <v>0.39</v>
      </c>
      <c r="R103" s="93">
        <f>[2]!s_stm07_is($C$6,"W85526134",R6,1,1)</f>
        <v>0.12</v>
      </c>
      <c r="S103" s="93">
        <f>[2]!s_stm07_is($C$6,"W85526134",S6,1,1)</f>
        <v>0.25</v>
      </c>
      <c r="T103" s="93">
        <f>[2]!s_stm07_is($C$6,"W85526134",T6,1,1)</f>
        <v>0.38</v>
      </c>
      <c r="U103" s="93">
        <f>[2]!s_stm07_is($C$6,"W85526134",U6,1,1)</f>
        <v>0.48</v>
      </c>
      <c r="V103" s="93">
        <f>[2]!s_stm07_is($C$6,"W85526134",V6,1,1)</f>
        <v>0.15</v>
      </c>
      <c r="W103" s="93">
        <f>[2]!s_stm07_is($C$6,"W85526134",W6,1,1)</f>
        <v>0.31</v>
      </c>
      <c r="X103" s="93">
        <f>[2]!s_stm07_is($C$6,"W85526134",X6,1,1)</f>
        <v>0.46</v>
      </c>
      <c r="Y103" s="93">
        <f>[2]!s_stm07_is($C$6,"W85526134",Y6,1,1)</f>
        <v>0.59</v>
      </c>
      <c r="Z103" s="93">
        <f>[2]!s_stm07_is($C$6,"W85526134",Z6,1,1)</f>
        <v>0.17</v>
      </c>
      <c r="AA103" s="93">
        <f>[2]!s_stm07_is($C$6,"W85526134",AA6,1,1)</f>
        <v>0.35</v>
      </c>
      <c r="AB103" s="93">
        <f>[2]!s_stm07_is($C$6,"W85526134",AB6,1,1)</f>
        <v>0.52</v>
      </c>
      <c r="AC103" s="93">
        <f>[2]!s_stm07_is($C$6,"W85526134",AC6,1,1)</f>
        <v>0.67</v>
      </c>
      <c r="AD103" s="93">
        <f>[2]!s_stm07_is($C$6,"W85526134",AD6,1,1)</f>
        <v>0.19</v>
      </c>
      <c r="AE103" s="93">
        <f>[2]!s_stm07_is($C$6,"W85526134",AE6,1,1)</f>
        <v>0.39</v>
      </c>
      <c r="AF103" s="93">
        <f>[2]!s_stm07_is($C$6,"W85526134",AF6,1,1)</f>
        <v>0.57999999999999996</v>
      </c>
      <c r="AG103" s="93">
        <f>[2]!s_stm07_is($C$6,"W85526134",AG6,1,1)</f>
        <v>0.74</v>
      </c>
      <c r="AH103" s="93">
        <f>[2]!s_stm07_is($C$6,"W85526134",AH6,1,1)</f>
        <v>0.21</v>
      </c>
      <c r="AI103" s="93">
        <f>[2]!s_stm07_is($C$6,"W85526134",AI6,1,1)</f>
        <v>0.42</v>
      </c>
      <c r="AJ103" s="93">
        <f>[2]!s_stm07_is($C$6,"W85526134",AJ6,1,1)</f>
        <v>0.62</v>
      </c>
      <c r="AK103" s="93">
        <f>[2]!s_stm07_is($C$6,"W85526134",AK6,1,1)</f>
        <v>0.78</v>
      </c>
      <c r="AL103" s="93">
        <f>[2]!s_stm07_is($C$6,"W85526134",AL6,1,1)</f>
        <v>0.21</v>
      </c>
      <c r="AM103" s="93">
        <f>[2]!s_stm07_is($C$6,"W85526134",AM6,1,1)</f>
        <v>0.42</v>
      </c>
      <c r="AN103" s="93">
        <f>[2]!s_stm07_is($C$6,"W85526134",AN6,1,1)</f>
        <v>0.62</v>
      </c>
      <c r="AO103" s="93">
        <f>[2]!s_stm07_is($C$6,"W85526134",AO6,1,1)</f>
        <v>0.77</v>
      </c>
      <c r="AP103" s="93">
        <f>[2]!s_stm07_is($C$6,"W85526134",AP6,1,1)</f>
        <v>0.21</v>
      </c>
      <c r="AQ103" s="93">
        <f>[2]!s_stm07_is($C$6,"W85526134",AQ6,1,1)</f>
        <v>0.42</v>
      </c>
      <c r="AR103" s="93">
        <f>[2]!s_stm07_is($C$6,"W85526134",AR6,1,1)</f>
        <v>0.63</v>
      </c>
      <c r="AS103" s="93">
        <f>[2]!s_stm07_is($C$6,"W85526134",AS6,1,1)</f>
        <v>0.77</v>
      </c>
      <c r="AT103" s="93">
        <f>[2]!s_stm07_is($C$6,"W85526134",AT6,1,1)</f>
        <v>0.21</v>
      </c>
    </row>
    <row r="105" spans="2:48" ht="13.15" x14ac:dyDescent="0.35">
      <c r="C105" s="27"/>
    </row>
    <row r="106" spans="2:48" ht="13.5" thickBot="1" x14ac:dyDescent="0.4">
      <c r="B106" s="94" t="s">
        <v>128</v>
      </c>
      <c r="C106" s="95"/>
      <c r="AT106" s="27" t="s">
        <v>129</v>
      </c>
    </row>
    <row r="107" spans="2:48" ht="13.15" x14ac:dyDescent="0.35">
      <c r="B107" s="96"/>
      <c r="C107" s="97" t="s">
        <v>130</v>
      </c>
      <c r="E107" s="98">
        <f>E108+E109</f>
        <v>0</v>
      </c>
      <c r="F107" s="98">
        <f t="shared" ref="F107:AS107" si="21">F108+F109</f>
        <v>0</v>
      </c>
      <c r="G107" s="98">
        <f t="shared" si="21"/>
        <v>0</v>
      </c>
      <c r="H107" s="98">
        <f t="shared" si="21"/>
        <v>0</v>
      </c>
      <c r="I107" s="98">
        <f t="shared" si="21"/>
        <v>3167096</v>
      </c>
      <c r="J107" s="98">
        <f t="shared" si="21"/>
        <v>0</v>
      </c>
      <c r="K107" s="98">
        <f t="shared" si="21"/>
        <v>3353812</v>
      </c>
      <c r="L107" s="98">
        <f t="shared" si="21"/>
        <v>3402149</v>
      </c>
      <c r="M107" s="98">
        <f t="shared" si="21"/>
        <v>3558417</v>
      </c>
      <c r="N107" s="98">
        <f t="shared" si="21"/>
        <v>4150496</v>
      </c>
      <c r="O107" s="98">
        <f t="shared" si="21"/>
        <v>4280633</v>
      </c>
      <c r="P107" s="98">
        <f t="shared" si="21"/>
        <v>4275721</v>
      </c>
      <c r="Q107" s="98">
        <f t="shared" si="21"/>
        <v>4287578</v>
      </c>
      <c r="R107" s="98">
        <f t="shared" si="21"/>
        <v>4450388</v>
      </c>
      <c r="S107" s="98">
        <f t="shared" si="21"/>
        <v>4578364</v>
      </c>
      <c r="T107" s="98">
        <f t="shared" si="21"/>
        <v>4681260</v>
      </c>
      <c r="U107" s="98">
        <f t="shared" si="21"/>
        <v>5134787</v>
      </c>
      <c r="V107" s="98">
        <f t="shared" si="21"/>
        <v>4937846</v>
      </c>
      <c r="W107" s="98">
        <f t="shared" si="21"/>
        <v>5499680</v>
      </c>
      <c r="X107" s="98">
        <f t="shared" si="21"/>
        <v>5209333</v>
      </c>
      <c r="Y107" s="98">
        <f t="shared" si="21"/>
        <v>5773971</v>
      </c>
      <c r="Z107" s="98">
        <f t="shared" si="21"/>
        <v>5540055</v>
      </c>
      <c r="AA107" s="98">
        <f t="shared" si="21"/>
        <v>6323927</v>
      </c>
      <c r="AB107" s="98">
        <f t="shared" si="21"/>
        <v>5973424</v>
      </c>
      <c r="AC107" s="98">
        <f t="shared" si="21"/>
        <v>6516589</v>
      </c>
      <c r="AD107" s="98">
        <f t="shared" si="21"/>
        <v>6856632</v>
      </c>
      <c r="AE107" s="98">
        <f t="shared" si="21"/>
        <v>6896402</v>
      </c>
      <c r="AF107" s="98">
        <f t="shared" si="21"/>
        <v>6993745</v>
      </c>
      <c r="AG107" s="98">
        <f t="shared" si="21"/>
        <v>7194773</v>
      </c>
      <c r="AH107" s="98">
        <f t="shared" si="21"/>
        <v>7558034</v>
      </c>
      <c r="AI107" s="98">
        <f t="shared" si="21"/>
        <v>7731001</v>
      </c>
      <c r="AJ107" s="98">
        <f t="shared" si="21"/>
        <v>7857893</v>
      </c>
      <c r="AK107" s="98">
        <f t="shared" si="21"/>
        <v>7962866</v>
      </c>
      <c r="AL107" s="98">
        <f t="shared" si="21"/>
        <v>8169245</v>
      </c>
      <c r="AM107" s="98">
        <f t="shared" si="21"/>
        <v>8376377</v>
      </c>
      <c r="AN107" s="98">
        <f t="shared" si="21"/>
        <v>8468250</v>
      </c>
      <c r="AO107" s="98">
        <f t="shared" si="21"/>
        <v>8391604</v>
      </c>
      <c r="AP107" s="98">
        <f t="shared" si="21"/>
        <v>8646244</v>
      </c>
      <c r="AQ107" s="98">
        <f t="shared" si="21"/>
        <v>8805691</v>
      </c>
      <c r="AR107" s="98">
        <f>AR108+AR109</f>
        <v>8886421</v>
      </c>
      <c r="AS107" s="98">
        <f t="shared" si="21"/>
        <v>8860677</v>
      </c>
      <c r="AT107" s="98">
        <f>AT108+AT109</f>
        <v>9184138</v>
      </c>
    </row>
    <row r="108" spans="2:48" ht="13.15" x14ac:dyDescent="0.35">
      <c r="B108" s="96"/>
      <c r="C108" s="97" t="s">
        <v>131</v>
      </c>
      <c r="E108" s="47">
        <f>[2]!s_stmnote_bank_681($C$6,E6,1,2,1000000)</f>
        <v>0</v>
      </c>
      <c r="F108" s="47">
        <f>[2]!s_stmnote_bank_681($C$6,F6,1,2,1000000)</f>
        <v>0</v>
      </c>
      <c r="G108" s="47">
        <f>[2]!s_stmnote_bank_681($C$6,G6,1,2,1000000)</f>
        <v>0</v>
      </c>
      <c r="H108" s="47">
        <f>[2]!s_stmnote_bank_681($C$6,H6,1,2,1000000)</f>
        <v>0</v>
      </c>
      <c r="I108" s="47">
        <f>[2]!s_stmnote_bank_681($C$6,I6,1,2,1000000)</f>
        <v>2914993</v>
      </c>
      <c r="J108" s="47">
        <f>[2]!s_stmnote_bank_681($C$6,J6,1,2,1000000)</f>
        <v>0</v>
      </c>
      <c r="K108" s="47">
        <f>[2]!s_stmnote_bank_681($C$6,K6,1,2,1000000)</f>
        <v>3155604</v>
      </c>
      <c r="L108" s="47">
        <f>[2]!s_stmnote_bank_681($C$6,L6,1,2,1000000)</f>
        <v>3199030</v>
      </c>
      <c r="M108" s="47">
        <f>[2]!s_stmnote_bank_681($C$6,M6,1,2,1000000)</f>
        <v>3232102</v>
      </c>
      <c r="N108" s="47">
        <f>[2]!s_stmnote_bank_681($C$6,N6,1,2,1000000)</f>
        <v>3622899</v>
      </c>
      <c r="O108" s="47">
        <f>[2]!s_stmnote_bank_681($C$6,O6,1,2,1000000)</f>
        <v>3811537</v>
      </c>
      <c r="P108" s="47">
        <f>[2]!s_stmnote_bank_681($C$6,P6,1,2,1000000)</f>
        <v>3876972</v>
      </c>
      <c r="Q108" s="47">
        <f>[2]!s_stmnote_bank_681($C$6,Q6,1,2,1000000)</f>
        <v>3957786</v>
      </c>
      <c r="R108" s="47">
        <f>[2]!s_stmnote_bank_681($C$6,R6,1,2,1000000)</f>
        <v>4245331</v>
      </c>
      <c r="S108" s="47">
        <f>[2]!s_stmnote_bank_681($C$6,S6,1,2,1000000)</f>
        <v>4384464</v>
      </c>
      <c r="T108" s="47">
        <f>[2]!s_stmnote_bank_681($C$6,T6,1,2,1000000)</f>
        <v>4547045</v>
      </c>
      <c r="U108" s="47">
        <f>[2]!s_stmnote_bank_681($C$6,U6,1,2,1000000)</f>
        <v>5017281</v>
      </c>
      <c r="V108" s="47">
        <f>[2]!s_stmnote_bank_681($C$6,V6,1,2,1000000)</f>
        <v>4845990</v>
      </c>
      <c r="W108" s="47">
        <f>[2]!s_stmnote_bank_681($C$6,W6,1,2,1000000)</f>
        <v>5393739</v>
      </c>
      <c r="X108" s="47">
        <f>[2]!s_stmnote_bank_681($C$6,X6,1,2,1000000)</f>
        <v>5099064</v>
      </c>
      <c r="Y108" s="47">
        <f>[2]!s_stmnote_bank_681($C$6,Y6,1,2,1000000)</f>
        <v>5666511</v>
      </c>
      <c r="Z108" s="47">
        <f>[2]!s_stmnote_bank_681($C$6,Z6,1,2,1000000)</f>
        <v>5410233</v>
      </c>
      <c r="AA108" s="47">
        <f>[2]!s_stmnote_bank_681($C$6,AA6,1,2,1000000)</f>
        <v>6118777</v>
      </c>
      <c r="AB108" s="47">
        <f>[2]!s_stmnote_bank_681($C$6,AB6,1,2,1000000)</f>
        <v>5761850</v>
      </c>
      <c r="AC108" s="47">
        <f>[2]!s_stmnote_bank_681($C$6,AC6,1,2,1000000)</f>
        <v>6332578</v>
      </c>
      <c r="AD108" s="47">
        <f>[2]!s_stmnote_bank_681($C$6,AD6,1,2,1000000)</f>
        <v>6705068</v>
      </c>
      <c r="AE108" s="47">
        <f>[2]!s_stmnote_bank_681($C$6,AE6,1,2,1000000)</f>
        <v>6710747</v>
      </c>
      <c r="AF108" s="47">
        <f>[2]!s_stmnote_bank_681($C$6,AF6,1,2,1000000)</f>
        <v>6845973</v>
      </c>
      <c r="AG108" s="47">
        <f>[2]!s_stmnote_bank_681($C$6,AG6,1,2,1000000)</f>
        <v>7046515</v>
      </c>
      <c r="AH108" s="47">
        <f>[2]!s_stmnote_bank_681($C$6,AH6,1,2,1000000)</f>
        <v>7435939</v>
      </c>
      <c r="AI108" s="47">
        <f>[2]!s_stmnote_bank_681($C$6,AI6,1,2,1000000)</f>
        <v>7576419</v>
      </c>
      <c r="AJ108" s="47">
        <f>[2]!s_stmnote_bank_681($C$6,AJ6,1,2,1000000)</f>
        <v>7575432</v>
      </c>
      <c r="AK108" s="47">
        <f>[2]!s_stmnote_bank_681($C$6,AK6,1,2,1000000)</f>
        <v>7612592</v>
      </c>
      <c r="AL108" s="47">
        <f>[2]!s_stmnote_bank_681($C$6,AL6,1,2,1000000)</f>
        <v>7829607</v>
      </c>
      <c r="AM108" s="47">
        <f>[2]!s_stmnote_bank_681($C$6,AM6,1,2,1000000)</f>
        <v>7943677</v>
      </c>
      <c r="AN108" s="47">
        <f>[2]!s_stmnote_bank_681($C$6,AN6,1,2,1000000)</f>
        <v>7990653</v>
      </c>
      <c r="AO108" s="47">
        <f>[2]!s_stmnote_bank_681($C$6,AO6,1,2,1000000)</f>
        <v>7869552</v>
      </c>
      <c r="AP108" s="47">
        <f>[2]!s_stmnote_bank_681($C$6,AP6,1,2,1000000)</f>
        <v>8114037</v>
      </c>
      <c r="AQ108" s="47">
        <f>[2]!s_stmnote_bank_681($C$6,AQ6,1,2,1000000)</f>
        <v>8134402</v>
      </c>
      <c r="AR108" s="47">
        <f>[2]!s_stmnote_bank_681($C$6,AR6,1,2,1000000)</f>
        <v>8074586</v>
      </c>
      <c r="AS108" s="47">
        <f>[2]!s_stmnote_bank_681($C$6,AS6,1,2,1000000)</f>
        <v>8140684</v>
      </c>
      <c r="AT108" s="47">
        <f>[2]!s_stmnote_bank_681($C$6,AT6,1,2,1000000)</f>
        <v>8708340</v>
      </c>
    </row>
    <row r="109" spans="2:48" ht="13.15" x14ac:dyDescent="0.35">
      <c r="B109" s="96"/>
      <c r="C109" s="97" t="s">
        <v>132</v>
      </c>
      <c r="E109" s="47">
        <f>[2]!s_stmnote_bank_683($C$6,E6,1,2,1000000)</f>
        <v>0</v>
      </c>
      <c r="F109" s="47">
        <f>[2]!s_stmnote_bank_683($C$6,F6,1,2,1000000)</f>
        <v>0</v>
      </c>
      <c r="G109" s="47">
        <f>[2]!s_stmnote_bank_683($C$6,G6,1,2,1000000)</f>
        <v>0</v>
      </c>
      <c r="H109" s="47">
        <f>[2]!s_stmnote_bank_683($C$6,H6,1,2,1000000)</f>
        <v>0</v>
      </c>
      <c r="I109" s="47">
        <f>[2]!s_stmnote_bank_683($C$6,I6,1,2,1000000)</f>
        <v>252103</v>
      </c>
      <c r="J109" s="47">
        <f>[2]!s_stmnote_bank_683($C$6,J6,1,2,1000000)</f>
        <v>0</v>
      </c>
      <c r="K109" s="47">
        <f>[2]!s_stmnote_bank_683($C$6,K6,1,2,1000000)</f>
        <v>198208</v>
      </c>
      <c r="L109" s="47">
        <f>[2]!s_stmnote_bank_683($C$6,L6,1,2,1000000)</f>
        <v>203119</v>
      </c>
      <c r="M109" s="47">
        <f>[2]!s_stmnote_bank_683($C$6,M6,1,2,1000000)</f>
        <v>326315</v>
      </c>
      <c r="N109" s="47">
        <f>[2]!s_stmnote_bank_683($C$6,N6,1,2,1000000)</f>
        <v>527597</v>
      </c>
      <c r="O109" s="47">
        <f>[2]!s_stmnote_bank_683($C$6,O6,1,2,1000000)</f>
        <v>469096</v>
      </c>
      <c r="P109" s="47">
        <f>[2]!s_stmnote_bank_683($C$6,P6,1,2,1000000)</f>
        <v>398749</v>
      </c>
      <c r="Q109" s="47">
        <f>[2]!s_stmnote_bank_683($C$6,Q6,1,2,1000000)</f>
        <v>329792</v>
      </c>
      <c r="R109" s="47">
        <f>[2]!s_stmnote_bank_683($C$6,R6,1,2,1000000)</f>
        <v>205057</v>
      </c>
      <c r="S109" s="47">
        <f>[2]!s_stmnote_bank_683($C$6,S6,1,2,1000000)</f>
        <v>193900</v>
      </c>
      <c r="T109" s="47">
        <f>[2]!s_stmnote_bank_683($C$6,T6,1,2,1000000)</f>
        <v>134215</v>
      </c>
      <c r="U109" s="47">
        <f>[2]!s_stmnote_bank_683($C$6,U6,1,2,1000000)</f>
        <v>117506</v>
      </c>
      <c r="V109" s="47">
        <f>[2]!s_stmnote_bank_683($C$6,V6,1,2,1000000)</f>
        <v>91856</v>
      </c>
      <c r="W109" s="47">
        <f>[2]!s_stmnote_bank_683($C$6,W6,1,2,1000000)</f>
        <v>105941</v>
      </c>
      <c r="X109" s="47">
        <f>[2]!s_stmnote_bank_683($C$6,X6,1,2,1000000)</f>
        <v>110269</v>
      </c>
      <c r="Y109" s="47">
        <f>[2]!s_stmnote_bank_683($C$6,Y6,1,2,1000000)</f>
        <v>107460</v>
      </c>
      <c r="Z109" s="47">
        <f>[2]!s_stmnote_bank_683($C$6,Z6,1,2,1000000)</f>
        <v>129822</v>
      </c>
      <c r="AA109" s="47">
        <f>[2]!s_stmnote_bank_683($C$6,AA6,1,2,1000000)</f>
        <v>205150</v>
      </c>
      <c r="AB109" s="47">
        <f>[2]!s_stmnote_bank_683($C$6,AB6,1,2,1000000)</f>
        <v>211574</v>
      </c>
      <c r="AC109" s="47">
        <f>[2]!s_stmnote_bank_683($C$6,AC6,1,2,1000000)</f>
        <v>184011</v>
      </c>
      <c r="AD109" s="47">
        <f>[2]!s_stmnote_bank_683($C$6,AD6,1,2,1000000)</f>
        <v>151564</v>
      </c>
      <c r="AE109" s="47">
        <f>[2]!s_stmnote_bank_683($C$6,AE6,1,2,1000000)</f>
        <v>185655</v>
      </c>
      <c r="AF109" s="47">
        <f>[2]!s_stmnote_bank_683($C$6,AF6,1,2,1000000)</f>
        <v>147772</v>
      </c>
      <c r="AG109" s="47">
        <f>[2]!s_stmnote_bank_683($C$6,AG6,1,2,1000000)</f>
        <v>148258</v>
      </c>
      <c r="AH109" s="47">
        <f>[2]!s_stmnote_bank_683($C$6,AH6,1,2,1000000)</f>
        <v>122095</v>
      </c>
      <c r="AI109" s="47">
        <f>[2]!s_stmnote_bank_683($C$6,AI6,1,2,1000000)</f>
        <v>154582</v>
      </c>
      <c r="AJ109" s="47">
        <f>[2]!s_stmnote_bank_683($C$6,AJ6,1,2,1000000)</f>
        <v>282461</v>
      </c>
      <c r="AK109" s="47">
        <f>[2]!s_stmnote_bank_683($C$6,AK6,1,2,1000000)</f>
        <v>350274</v>
      </c>
      <c r="AL109" s="47">
        <f>[2]!s_stmnote_bank_683($C$6,AL6,1,2,1000000)</f>
        <v>339638</v>
      </c>
      <c r="AM109" s="47">
        <f>[2]!s_stmnote_bank_683($C$6,AM6,1,2,1000000)</f>
        <v>432700</v>
      </c>
      <c r="AN109" s="47">
        <f>[2]!s_stmnote_bank_683($C$6,AN6,1,2,1000000)</f>
        <v>477597</v>
      </c>
      <c r="AO109" s="47">
        <f>[2]!s_stmnote_bank_683($C$6,AO6,1,2,1000000)</f>
        <v>522052</v>
      </c>
      <c r="AP109" s="47">
        <f>[2]!s_stmnote_bank_683($C$6,AP6,1,2,1000000)</f>
        <v>532207</v>
      </c>
      <c r="AQ109" s="47">
        <f>[2]!s_stmnote_bank_683($C$6,AQ6,1,2,1000000)</f>
        <v>671289</v>
      </c>
      <c r="AR109" s="47">
        <f>[2]!s_stmnote_bank_683($C$6,AR6,1,2,1000000)</f>
        <v>811835</v>
      </c>
      <c r="AS109" s="47">
        <f>[2]!s_stmnote_bank_683($C$6,AS6,1,2,1000000)</f>
        <v>719993</v>
      </c>
      <c r="AT109" s="47">
        <f>[2]!s_stmnote_bank_683($C$6,AT6,1,2,1000000)</f>
        <v>475798</v>
      </c>
    </row>
    <row r="110" spans="2:48" ht="13.15" x14ac:dyDescent="0.35">
      <c r="B110" s="99"/>
      <c r="C110" s="97" t="s">
        <v>133</v>
      </c>
      <c r="E110" s="47">
        <f>[2]!s_stmnote_bank_682($C$6,E6,1,2,1000000)</f>
        <v>0</v>
      </c>
      <c r="F110" s="47">
        <f>[2]!s_stmnote_bank_682($C$6,F6,1,2,1000000)</f>
        <v>0</v>
      </c>
      <c r="G110" s="47">
        <f>[2]!s_stmnote_bank_682($C$6,G6,1,2,1000000)</f>
        <v>0</v>
      </c>
      <c r="H110" s="47">
        <f>[2]!s_stmnote_bank_682($C$6,H6,1,2,1000000)</f>
        <v>0</v>
      </c>
      <c r="I110" s="47">
        <f>[2]!s_stmnote_bank_682($C$6,I6,1,2,1000000)</f>
        <v>752113</v>
      </c>
      <c r="J110" s="47">
        <f>[2]!s_stmnote_bank_682($C$6,J6,1,2,1000000)</f>
        <v>0</v>
      </c>
      <c r="K110" s="47">
        <f>[2]!s_stmnote_bank_682($C$6,K6,1,2,1000000)</f>
        <v>801128</v>
      </c>
      <c r="L110" s="47">
        <f>[2]!s_stmnote_bank_682($C$6,L6,1,2,1000000)</f>
        <v>816842</v>
      </c>
      <c r="M110" s="47">
        <f>[2]!s_stmnote_bank_682($C$6,M6,1,2,1000000)</f>
        <v>829342</v>
      </c>
      <c r="N110" s="47">
        <f>[2]!s_stmnote_bank_682($C$6,N6,1,2,1000000)</f>
        <v>881884</v>
      </c>
      <c r="O110" s="47">
        <f>[2]!s_stmnote_bank_682($C$6,O6,1,2,1000000)</f>
        <v>967906</v>
      </c>
      <c r="P110" s="47">
        <f>[2]!s_stmnote_bank_682($C$6,P6,1,2,1000000)</f>
        <v>1093026</v>
      </c>
      <c r="Q110" s="47">
        <f>[2]!s_stmnote_bank_682($C$6,Q6,1,2,1000000)</f>
        <v>1206850</v>
      </c>
      <c r="R110" s="47">
        <f>[2]!s_stmnote_bank_682($C$6,R6,1,2,1000000)</f>
        <v>1338361</v>
      </c>
      <c r="S110" s="47">
        <f>[2]!s_stmnote_bank_682($C$6,S6,1,2,1000000)</f>
        <v>1457898</v>
      </c>
      <c r="T110" s="47">
        <f>[2]!s_stmnote_bank_682($C$6,T6,1,2,1000000)</f>
        <v>1550095</v>
      </c>
      <c r="U110" s="47">
        <f>[2]!s_stmnote_bank_682($C$6,U6,1,2,1000000)</f>
        <v>1655719</v>
      </c>
      <c r="V110" s="47">
        <f>[2]!s_stmnote_bank_682($C$6,V6,1,2,1000000)</f>
        <v>1720669</v>
      </c>
      <c r="W110" s="47">
        <f>[2]!s_stmnote_bank_682($C$6,W6,1,2,1000000)</f>
        <v>1834360</v>
      </c>
      <c r="X110" s="47">
        <f>[2]!s_stmnote_bank_682($C$6,X6,1,2,1000000)</f>
        <v>1908338</v>
      </c>
      <c r="Y110" s="47">
        <f>[2]!s_stmnote_bank_682($C$6,Y6,1,2,1000000)</f>
        <v>2014926</v>
      </c>
      <c r="Z110" s="47">
        <f>[2]!s_stmnote_bank_682($C$6,Z6,1,2,1000000)</f>
        <v>2037255</v>
      </c>
      <c r="AA110" s="47">
        <f>[2]!s_stmnote_bank_682($C$6,AA6,1,2,1000000)</f>
        <v>2100110</v>
      </c>
      <c r="AB110" s="47">
        <f>[2]!s_stmnote_bank_682($C$6,AB6,1,2,1000000)</f>
        <v>2149447</v>
      </c>
      <c r="AC110" s="47">
        <f>[2]!s_stmnote_bank_682($C$6,AC6,1,2,1000000)</f>
        <v>2287103</v>
      </c>
      <c r="AD110" s="47">
        <f>[2]!s_stmnote_bank_682($C$6,AD6,1,2,1000000)</f>
        <v>2408322</v>
      </c>
      <c r="AE110" s="47">
        <f>[2]!s_stmnote_bank_682($C$6,AE6,1,2,1000000)</f>
        <v>2541240</v>
      </c>
      <c r="AF110" s="47">
        <f>[2]!s_stmnote_bank_682($C$6,AF6,1,2,1000000)</f>
        <v>2650775</v>
      </c>
      <c r="AG110" s="47">
        <f>[2]!s_stmnote_bank_682($C$6,AG6,1,2,1000000)</f>
        <v>2727601</v>
      </c>
      <c r="AH110" s="47">
        <f>[2]!s_stmnote_bank_682($C$6,AH6,1,2,1000000)</f>
        <v>2814146</v>
      </c>
      <c r="AI110" s="47">
        <f>[2]!s_stmnote_bank_682($C$6,AI6,1,2,1000000)</f>
        <v>2915114</v>
      </c>
      <c r="AJ110" s="47">
        <f>[2]!s_stmnote_bank_682($C$6,AJ6,1,2,1000000)</f>
        <v>2995759</v>
      </c>
      <c r="AK110" s="47">
        <f>[2]!s_stmnote_bank_682($C$6,AK6,1,2,1000000)</f>
        <v>3063465</v>
      </c>
      <c r="AL110" s="47">
        <f>[2]!s_stmnote_bank_682($C$6,AL6,1,2,1000000)</f>
        <v>3150597</v>
      </c>
      <c r="AM110" s="47">
        <f>[2]!s_stmnote_bank_682($C$6,AM6,1,2,1000000)</f>
        <v>3265708</v>
      </c>
      <c r="AN110" s="47">
        <f>[2]!s_stmnote_bank_682($C$6,AN6,1,2,1000000)</f>
        <v>3412409</v>
      </c>
      <c r="AO110" s="47">
        <f>[2]!s_stmnote_bank_682($C$6,AO6,1,2,1000000)</f>
        <v>3541862</v>
      </c>
      <c r="AP110" s="47">
        <f>[2]!s_stmnote_bank_682($C$6,AP6,1,2,1000000)</f>
        <v>3699462</v>
      </c>
      <c r="AQ110" s="47">
        <f>[2]!s_stmnote_bank_682($C$6,AQ6,1,2,1000000)</f>
        <v>3871626</v>
      </c>
      <c r="AR110" s="47">
        <f>[2]!s_stmnote_bank_682($C$6,AR6,1,2,1000000)</f>
        <v>4027782</v>
      </c>
      <c r="AS110" s="47">
        <f>[2]!s_stmnote_bank_682($C$6,AS6,1,2,1000000)</f>
        <v>4196169</v>
      </c>
      <c r="AT110" s="47">
        <f>[2]!s_stmnote_bank_682($C$6,AT6,1,2,1000000)</f>
        <v>4388306</v>
      </c>
    </row>
    <row r="111" spans="2:48" ht="13.15" x14ac:dyDescent="0.35">
      <c r="B111" s="96"/>
      <c r="C111" s="97" t="s">
        <v>134</v>
      </c>
      <c r="E111" s="47">
        <f>-[2]!s_stmnote_bank_22n($C$6,E6,1,1000000)</f>
        <v>-97193</v>
      </c>
      <c r="F111" s="47">
        <f>-[2]!s_stmnote_bank_22n($C$6,F6,1,1000000)</f>
        <v>0</v>
      </c>
      <c r="G111" s="47">
        <f>-[2]!s_stmnote_bank_22n($C$6,G6,1,1000000)</f>
        <v>-104539</v>
      </c>
      <c r="H111" s="47">
        <f>-[2]!s_stmnote_bank_22n($C$6,H6,1,1000000)</f>
        <v>-109137.5012</v>
      </c>
      <c r="I111" s="47">
        <f>-[2]!s_stmnote_bank_22n($C$6,I6,1,1000000)</f>
        <v>-115687</v>
      </c>
      <c r="J111" s="100">
        <f>-[2]!s_stmnote_bank_22n($C$6,J6,1,1000000)</f>
        <v>-118131.5968</v>
      </c>
      <c r="K111" s="47">
        <f>-[2]!s_stmnote_bank_22n($C$6,K6,1,1000000)</f>
        <v>-122047</v>
      </c>
      <c r="L111" s="47">
        <f>-[2]!s_stmnote_bank_22n($C$6,L6,1,1000000)</f>
        <v>-127074</v>
      </c>
      <c r="M111" s="47">
        <f>-[2]!s_stmnote_bank_22n($C$6,M6,1,1000000)</f>
        <v>-135983</v>
      </c>
      <c r="N111" s="47">
        <f>-[2]!s_stmnote_bank_22n($C$6,N6,1,1000000)</f>
        <v>-135522</v>
      </c>
      <c r="O111" s="47">
        <f>-[2]!s_stmnote_bank_22n($C$6,O6,1,1000000)</f>
        <v>-136353</v>
      </c>
      <c r="P111" s="47">
        <f>-[2]!s_stmnote_bank_22n($C$6,P6,1,1000000)</f>
        <v>-138771</v>
      </c>
      <c r="Q111" s="47">
        <f>-[2]!s_stmnote_bank_22n($C$6,Q6,1,1000000)</f>
        <v>-145452</v>
      </c>
      <c r="R111" s="47">
        <f>-[2]!s_stmnote_bank_22n($C$6,R6,1,1000000)</f>
        <v>-146699</v>
      </c>
      <c r="S111" s="47">
        <f>-[2]!s_stmnote_bank_22n($C$6,S6,1,1000000)</f>
        <v>-151990</v>
      </c>
      <c r="T111" s="47">
        <f>-[2]!s_stmnote_bank_22n($C$6,T6,1,1000000)</f>
        <v>-159158</v>
      </c>
      <c r="U111" s="47">
        <f>-[2]!s_stmnote_bank_22n($C$6,U6,1,1000000)</f>
        <v>-167134</v>
      </c>
      <c r="V111" s="47">
        <f>-[2]!s_stmnote_bank_22n($C$6,V6,1,1000000)</f>
        <v>-174478</v>
      </c>
      <c r="W111" s="47">
        <f>-[2]!s_stmnote_bank_22n($C$6,W6,1,1000000)</f>
        <v>-181453</v>
      </c>
      <c r="X111" s="47">
        <f>-[2]!s_stmnote_bank_22n($C$6,X6,1,1000000)</f>
        <v>-188653</v>
      </c>
      <c r="Y111" s="47">
        <f>-[2]!s_stmnote_bank_22n($C$6,Y6,1,1000000)</f>
        <v>-194878</v>
      </c>
      <c r="Z111" s="47">
        <f>-[2]!s_stmnote_bank_22n($C$6,Z6,1,1000000)</f>
        <v>-204536</v>
      </c>
      <c r="AA111" s="47">
        <f>-[2]!s_stmnote_bank_22n($C$6,AA6,1,1000000)</f>
        <v>-211401</v>
      </c>
      <c r="AB111" s="47">
        <f>-[2]!s_stmnote_bank_22n($C$6,AB6,1,1000000)</f>
        <v>-215529</v>
      </c>
      <c r="AC111" s="47">
        <f>-[2]!s_stmnote_bank_22n($C$6,AC6,1,1000000)</f>
        <v>-220403</v>
      </c>
      <c r="AD111" s="47">
        <f>-[2]!s_stmnote_bank_22n($C$6,AD6,1,1000000)</f>
        <v>-231177</v>
      </c>
      <c r="AE111" s="47">
        <f>-[2]!s_stmnote_bank_22n($C$6,AE6,1,1000000)</f>
        <v>-235619</v>
      </c>
      <c r="AF111" s="47">
        <f>-[2]!s_stmnote_bank_22n($C$6,AF6,1,1000000)</f>
        <v>-234885</v>
      </c>
      <c r="AG111" s="47">
        <f>-[2]!s_stmnote_bank_22n($C$6,AG6,1,1000000)</f>
        <v>-240959</v>
      </c>
      <c r="AH111" s="47">
        <f>-[2]!s_stmnote_bank_22n($C$6,AH6,1,1000000)</f>
        <v>-246744</v>
      </c>
      <c r="AI111" s="47">
        <f>-[2]!s_stmnote_bank_22n($C$6,AI6,1,1000000)</f>
        <v>-251680</v>
      </c>
      <c r="AJ111" s="47">
        <f>-[2]!s_stmnote_bank_22n($C$6,AJ6,1,1000000)</f>
        <v>-250108</v>
      </c>
      <c r="AK111" s="47">
        <f>-[2]!s_stmnote_bank_22n($C$6,AK6,1,1000000)</f>
        <v>-257581</v>
      </c>
      <c r="AL111" s="47">
        <f>-[2]!s_stmnote_bank_22n($C$6,AL6,1,1000000)</f>
        <v>-262585</v>
      </c>
      <c r="AM111" s="47">
        <f>-[2]!s_stmnote_bank_22n($C$6,AM6,1,1000000)</f>
        <v>-267138</v>
      </c>
      <c r="AN111" s="47">
        <f>-[2]!s_stmnote_bank_22n($C$6,AN6,1,1000000)</f>
        <v>-270196</v>
      </c>
      <c r="AO111" s="47">
        <f>-[2]!s_stmnote_bank_22n($C$6,AO6,1,1000000)</f>
        <v>-280654</v>
      </c>
      <c r="AP111" s="47">
        <f>-[2]!s_stmnote_bank_22n($C$6,AP6,1,1000000)</f>
        <v>-289001</v>
      </c>
      <c r="AQ111" s="47">
        <f>-[2]!s_stmnote_bank_22n($C$6,AQ6,1,1000000)</f>
        <v>-280756</v>
      </c>
      <c r="AR111" s="47">
        <f>-[2]!s_stmnote_bank_22n($C$6,AR6,1,1000000)</f>
        <v>-284365</v>
      </c>
      <c r="AS111" s="47">
        <f>-[2]!s_stmnote_bank_22n($C$6,AS6,1,1000000)</f>
        <v>-289512</v>
      </c>
      <c r="AT111" s="47">
        <f>-[2]!s_stmnote_bank_22n($C$6,AT6,1,1000000)</f>
        <v>-304646</v>
      </c>
    </row>
    <row r="112" spans="2:48" ht="13.5" x14ac:dyDescent="0.4">
      <c r="B112" s="101"/>
      <c r="C112" s="102" t="s">
        <v>135</v>
      </c>
      <c r="E112" s="103">
        <f>E113-E111</f>
        <v>3631171</v>
      </c>
      <c r="F112" s="103">
        <f t="shared" ref="F112:AR112" si="22">F113-F111</f>
        <v>3696433</v>
      </c>
      <c r="G112" s="103">
        <f t="shared" si="22"/>
        <v>3915606</v>
      </c>
      <c r="H112" s="103">
        <f t="shared" si="22"/>
        <v>4045054.5011999998</v>
      </c>
      <c r="I112" s="103">
        <f t="shared" si="22"/>
        <v>4073229</v>
      </c>
      <c r="J112" s="103">
        <f t="shared" si="22"/>
        <v>4251955.5968000004</v>
      </c>
      <c r="K112" s="103">
        <f t="shared" si="22"/>
        <v>4355365</v>
      </c>
      <c r="L112" s="103">
        <f t="shared" si="22"/>
        <v>4420065</v>
      </c>
      <c r="M112" s="103">
        <f t="shared" si="22"/>
        <v>4571994</v>
      </c>
      <c r="N112" s="103">
        <f t="shared" si="22"/>
        <v>5208429</v>
      </c>
      <c r="O112" s="103">
        <f t="shared" si="22"/>
        <v>5436469</v>
      </c>
      <c r="P112" s="103">
        <f t="shared" si="22"/>
        <v>5580469</v>
      </c>
      <c r="Q112" s="103">
        <f t="shared" si="22"/>
        <v>5728626</v>
      </c>
      <c r="R112" s="103">
        <f t="shared" si="22"/>
        <v>6062793</v>
      </c>
      <c r="S112" s="103">
        <f t="shared" si="22"/>
        <v>6354384</v>
      </c>
      <c r="T112" s="103">
        <f t="shared" si="22"/>
        <v>6571512</v>
      </c>
      <c r="U112" s="103">
        <f t="shared" si="22"/>
        <v>6790506</v>
      </c>
      <c r="V112" s="103">
        <f t="shared" si="22"/>
        <v>7063351</v>
      </c>
      <c r="W112" s="103">
        <f t="shared" si="22"/>
        <v>7334040</v>
      </c>
      <c r="X112" s="103">
        <f t="shared" si="22"/>
        <v>7599040</v>
      </c>
      <c r="Y112" s="103">
        <f t="shared" si="22"/>
        <v>7788897</v>
      </c>
      <c r="Z112" s="103">
        <f t="shared" si="22"/>
        <v>8158090</v>
      </c>
      <c r="AA112" s="103">
        <f t="shared" si="22"/>
        <v>8424037</v>
      </c>
      <c r="AB112" s="103">
        <f t="shared" si="22"/>
        <v>8637812</v>
      </c>
      <c r="AC112" s="103">
        <f t="shared" si="22"/>
        <v>8803692</v>
      </c>
      <c r="AD112" s="103">
        <f t="shared" si="22"/>
        <v>9264954</v>
      </c>
      <c r="AE112" s="103">
        <f t="shared" si="22"/>
        <v>9437642</v>
      </c>
      <c r="AF112" s="103">
        <f t="shared" si="22"/>
        <v>9644520</v>
      </c>
      <c r="AG112" s="103">
        <f t="shared" si="22"/>
        <v>9922374</v>
      </c>
      <c r="AH112" s="103">
        <f t="shared" si="22"/>
        <v>10372180</v>
      </c>
      <c r="AI112" s="103">
        <f t="shared" si="22"/>
        <v>10646115</v>
      </c>
      <c r="AJ112" s="103">
        <f t="shared" si="22"/>
        <v>10853652</v>
      </c>
      <c r="AK112" s="103">
        <f t="shared" si="22"/>
        <v>11026331</v>
      </c>
      <c r="AL112" s="103">
        <f t="shared" si="22"/>
        <v>11319842</v>
      </c>
      <c r="AM112" s="103">
        <f t="shared" si="22"/>
        <v>11642085</v>
      </c>
      <c r="AN112" s="103">
        <f t="shared" si="22"/>
        <v>11880659</v>
      </c>
      <c r="AO112" s="103">
        <f t="shared" si="22"/>
        <v>11933466</v>
      </c>
      <c r="AP112" s="103">
        <f t="shared" si="22"/>
        <v>12345706</v>
      </c>
      <c r="AQ112" s="103">
        <f t="shared" si="22"/>
        <v>12677317</v>
      </c>
      <c r="AR112" s="103">
        <f t="shared" si="22"/>
        <v>12914203</v>
      </c>
      <c r="AS112" s="103">
        <f>AS113-AS111</f>
        <v>13056846</v>
      </c>
      <c r="AT112" s="103">
        <f>AT113-AT111</f>
        <v>13572444</v>
      </c>
    </row>
    <row r="113" spans="2:46" ht="13.9" thickBot="1" x14ac:dyDescent="0.45">
      <c r="B113" s="101"/>
      <c r="C113" s="104" t="s">
        <v>136</v>
      </c>
      <c r="E113" s="105">
        <f t="shared" ref="E113:AT113" si="23">E18</f>
        <v>3533978</v>
      </c>
      <c r="F113" s="105">
        <f t="shared" si="23"/>
        <v>3696433</v>
      </c>
      <c r="G113" s="105">
        <f t="shared" si="23"/>
        <v>3811067</v>
      </c>
      <c r="H113" s="105">
        <f t="shared" si="23"/>
        <v>3935917</v>
      </c>
      <c r="I113" s="105">
        <f t="shared" si="23"/>
        <v>3957542</v>
      </c>
      <c r="J113" s="105">
        <f t="shared" si="23"/>
        <v>4133824</v>
      </c>
      <c r="K113" s="105">
        <f t="shared" si="23"/>
        <v>4233318</v>
      </c>
      <c r="L113" s="105">
        <f t="shared" si="23"/>
        <v>4292991</v>
      </c>
      <c r="M113" s="105">
        <f t="shared" si="23"/>
        <v>4436011</v>
      </c>
      <c r="N113" s="105">
        <f t="shared" si="23"/>
        <v>5072907</v>
      </c>
      <c r="O113" s="105">
        <f t="shared" si="23"/>
        <v>5300116</v>
      </c>
      <c r="P113" s="105">
        <f t="shared" si="23"/>
        <v>5441698</v>
      </c>
      <c r="Q113" s="105">
        <f t="shared" si="23"/>
        <v>5583174</v>
      </c>
      <c r="R113" s="105">
        <f t="shared" si="23"/>
        <v>5916094</v>
      </c>
      <c r="S113" s="105">
        <f t="shared" si="23"/>
        <v>6202394</v>
      </c>
      <c r="T113" s="105">
        <f t="shared" si="23"/>
        <v>6412354</v>
      </c>
      <c r="U113" s="105">
        <f t="shared" si="23"/>
        <v>6623372</v>
      </c>
      <c r="V113" s="105">
        <f t="shared" si="23"/>
        <v>6888873</v>
      </c>
      <c r="W113" s="105">
        <f t="shared" si="23"/>
        <v>7152587</v>
      </c>
      <c r="X113" s="105">
        <f t="shared" si="23"/>
        <v>7410387</v>
      </c>
      <c r="Y113" s="105">
        <f t="shared" si="23"/>
        <v>7594019</v>
      </c>
      <c r="Z113" s="105">
        <f t="shared" si="23"/>
        <v>7953554</v>
      </c>
      <c r="AA113" s="105">
        <f t="shared" si="23"/>
        <v>8212636</v>
      </c>
      <c r="AB113" s="105">
        <f t="shared" si="23"/>
        <v>8422283</v>
      </c>
      <c r="AC113" s="105">
        <f t="shared" si="23"/>
        <v>8583289</v>
      </c>
      <c r="AD113" s="105">
        <f t="shared" si="23"/>
        <v>9033777</v>
      </c>
      <c r="AE113" s="105">
        <f t="shared" si="23"/>
        <v>9202023</v>
      </c>
      <c r="AF113" s="105">
        <f t="shared" si="23"/>
        <v>9409635</v>
      </c>
      <c r="AG113" s="105">
        <f t="shared" si="23"/>
        <v>9681415</v>
      </c>
      <c r="AH113" s="105">
        <f t="shared" si="23"/>
        <v>10125436</v>
      </c>
      <c r="AI113" s="105">
        <f t="shared" si="23"/>
        <v>10394435</v>
      </c>
      <c r="AJ113" s="105">
        <f t="shared" si="23"/>
        <v>10603544</v>
      </c>
      <c r="AK113" s="105">
        <f t="shared" si="23"/>
        <v>10768750</v>
      </c>
      <c r="AL113" s="105">
        <f t="shared" si="23"/>
        <v>11057257</v>
      </c>
      <c r="AM113" s="105">
        <f t="shared" si="23"/>
        <v>11374947</v>
      </c>
      <c r="AN113" s="105">
        <f t="shared" si="23"/>
        <v>11610463</v>
      </c>
      <c r="AO113" s="105">
        <f t="shared" si="23"/>
        <v>11652812</v>
      </c>
      <c r="AP113" s="105">
        <f t="shared" si="23"/>
        <v>12056705</v>
      </c>
      <c r="AQ113" s="105">
        <f t="shared" si="23"/>
        <v>12396561</v>
      </c>
      <c r="AR113" s="105">
        <f t="shared" si="23"/>
        <v>12629838</v>
      </c>
      <c r="AS113" s="105">
        <f t="shared" si="23"/>
        <v>12767334</v>
      </c>
      <c r="AT113" s="105">
        <f t="shared" si="23"/>
        <v>13267798</v>
      </c>
    </row>
    <row r="114" spans="2:46" s="58" customFormat="1" ht="13.15" x14ac:dyDescent="0.35">
      <c r="C114" s="57" t="s">
        <v>91</v>
      </c>
      <c r="E114" s="59">
        <f>IF(E108=0,0,E112-E107-E110)</f>
        <v>0</v>
      </c>
      <c r="F114" s="59">
        <f t="shared" ref="F114:AT114" si="24">IF(F108=0,0,F112-F107-F110)</f>
        <v>0</v>
      </c>
      <c r="G114" s="59">
        <f t="shared" si="24"/>
        <v>0</v>
      </c>
      <c r="H114" s="59">
        <f t="shared" si="24"/>
        <v>0</v>
      </c>
      <c r="I114" s="59">
        <f t="shared" si="24"/>
        <v>154020</v>
      </c>
      <c r="J114" s="106">
        <f>IF(J108=0,0,J112-J107-J110)</f>
        <v>0</v>
      </c>
      <c r="K114" s="59">
        <f t="shared" si="24"/>
        <v>200425</v>
      </c>
      <c r="L114" s="59">
        <f t="shared" si="24"/>
        <v>201074</v>
      </c>
      <c r="M114" s="59">
        <f t="shared" si="24"/>
        <v>184235</v>
      </c>
      <c r="N114" s="59">
        <f t="shared" si="24"/>
        <v>176049</v>
      </c>
      <c r="O114" s="59">
        <f t="shared" si="24"/>
        <v>187930</v>
      </c>
      <c r="P114" s="59">
        <f t="shared" si="24"/>
        <v>211722</v>
      </c>
      <c r="Q114" s="59">
        <f t="shared" si="24"/>
        <v>234198</v>
      </c>
      <c r="R114" s="59">
        <f t="shared" si="24"/>
        <v>274044</v>
      </c>
      <c r="S114" s="59">
        <f t="shared" si="24"/>
        <v>318122</v>
      </c>
      <c r="T114" s="59">
        <f t="shared" si="24"/>
        <v>340157</v>
      </c>
      <c r="U114" s="59">
        <f t="shared" si="24"/>
        <v>0</v>
      </c>
      <c r="V114" s="59">
        <f t="shared" si="24"/>
        <v>404836</v>
      </c>
      <c r="W114" s="59">
        <f t="shared" si="24"/>
        <v>0</v>
      </c>
      <c r="X114" s="59">
        <f t="shared" si="24"/>
        <v>481369</v>
      </c>
      <c r="Y114" s="59">
        <f t="shared" si="24"/>
        <v>0</v>
      </c>
      <c r="Z114" s="59">
        <f t="shared" si="24"/>
        <v>580780</v>
      </c>
      <c r="AA114" s="59">
        <f t="shared" si="24"/>
        <v>0</v>
      </c>
      <c r="AB114" s="59">
        <f t="shared" si="24"/>
        <v>514941</v>
      </c>
      <c r="AC114" s="59">
        <f t="shared" si="24"/>
        <v>0</v>
      </c>
      <c r="AD114" s="59">
        <f t="shared" si="24"/>
        <v>0</v>
      </c>
      <c r="AE114" s="59">
        <f t="shared" si="24"/>
        <v>0</v>
      </c>
      <c r="AF114" s="59">
        <f t="shared" si="24"/>
        <v>0</v>
      </c>
      <c r="AG114" s="59">
        <f t="shared" si="24"/>
        <v>0</v>
      </c>
      <c r="AH114" s="59">
        <f t="shared" si="24"/>
        <v>0</v>
      </c>
      <c r="AI114" s="59">
        <f t="shared" si="24"/>
        <v>0</v>
      </c>
      <c r="AJ114" s="59">
        <f t="shared" si="24"/>
        <v>0</v>
      </c>
      <c r="AK114" s="59">
        <f t="shared" si="24"/>
        <v>0</v>
      </c>
      <c r="AL114" s="59">
        <f t="shared" si="24"/>
        <v>0</v>
      </c>
      <c r="AM114" s="59">
        <f t="shared" si="24"/>
        <v>0</v>
      </c>
      <c r="AN114" s="59">
        <f t="shared" si="24"/>
        <v>0</v>
      </c>
      <c r="AO114" s="59">
        <f t="shared" si="24"/>
        <v>0</v>
      </c>
      <c r="AP114" s="59">
        <f t="shared" si="24"/>
        <v>0</v>
      </c>
      <c r="AQ114" s="59">
        <f t="shared" si="24"/>
        <v>0</v>
      </c>
      <c r="AR114" s="59">
        <f t="shared" si="24"/>
        <v>0</v>
      </c>
      <c r="AS114" s="59">
        <f t="shared" si="24"/>
        <v>0</v>
      </c>
      <c r="AT114" s="59">
        <f t="shared" si="24"/>
        <v>0</v>
      </c>
    </row>
    <row r="115" spans="2:46" x14ac:dyDescent="0.35">
      <c r="AH115" s="24"/>
      <c r="AL115" s="24"/>
      <c r="AP115" s="24"/>
      <c r="AT115" s="24"/>
    </row>
    <row r="116" spans="2:46" x14ac:dyDescent="0.35">
      <c r="AE116" s="24"/>
      <c r="AI116" s="24"/>
      <c r="AM116" s="24"/>
    </row>
    <row r="117" spans="2:46" ht="13.5" thickBot="1" x14ac:dyDescent="0.4">
      <c r="B117" s="94" t="s">
        <v>137</v>
      </c>
      <c r="C117" s="107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</row>
    <row r="118" spans="2:46" ht="13.15" x14ac:dyDescent="0.35">
      <c r="B118" s="99"/>
      <c r="C118" s="97" t="s">
        <v>138</v>
      </c>
      <c r="E118" s="98">
        <f>E119+E120</f>
        <v>0</v>
      </c>
      <c r="F118" s="98">
        <f t="shared" ref="F118:AT118" si="25">F119+F120</f>
        <v>0</v>
      </c>
      <c r="G118" s="98">
        <f t="shared" si="25"/>
        <v>0</v>
      </c>
      <c r="H118" s="98">
        <f t="shared" si="25"/>
        <v>0</v>
      </c>
      <c r="I118" s="98">
        <f t="shared" si="25"/>
        <v>3537398</v>
      </c>
      <c r="J118" s="98">
        <f t="shared" si="25"/>
        <v>0</v>
      </c>
      <c r="K118" s="98">
        <f t="shared" si="25"/>
        <v>3645947</v>
      </c>
      <c r="L118" s="98">
        <f t="shared" si="25"/>
        <v>0</v>
      </c>
      <c r="M118" s="98">
        <f t="shared" si="25"/>
        <v>3990043</v>
      </c>
      <c r="N118" s="98">
        <f t="shared" si="25"/>
        <v>0</v>
      </c>
      <c r="O118" s="98">
        <f t="shared" si="25"/>
        <v>4717082</v>
      </c>
      <c r="P118" s="98">
        <f t="shared" si="25"/>
        <v>0</v>
      </c>
      <c r="Q118" s="98">
        <f t="shared" si="25"/>
        <v>4970896</v>
      </c>
      <c r="R118" s="98">
        <f t="shared" si="25"/>
        <v>0</v>
      </c>
      <c r="S118" s="98">
        <f t="shared" si="25"/>
        <v>5503161</v>
      </c>
      <c r="T118" s="98">
        <f t="shared" si="25"/>
        <v>0</v>
      </c>
      <c r="U118" s="98">
        <f t="shared" si="25"/>
        <v>5798416</v>
      </c>
      <c r="V118" s="98">
        <f t="shared" si="25"/>
        <v>0</v>
      </c>
      <c r="W118" s="98">
        <f t="shared" si="25"/>
        <v>6241271</v>
      </c>
      <c r="X118" s="98">
        <f t="shared" si="25"/>
        <v>0</v>
      </c>
      <c r="Y118" s="98">
        <f t="shared" si="25"/>
        <v>6307334</v>
      </c>
      <c r="Z118" s="98">
        <f t="shared" si="25"/>
        <v>0</v>
      </c>
      <c r="AA118" s="98">
        <f t="shared" si="25"/>
        <v>6502509</v>
      </c>
      <c r="AB118" s="98">
        <f t="shared" si="25"/>
        <v>0</v>
      </c>
      <c r="AC118" s="98">
        <f t="shared" si="25"/>
        <v>6793342</v>
      </c>
      <c r="AD118" s="98">
        <f t="shared" si="25"/>
        <v>0</v>
      </c>
      <c r="AE118" s="98">
        <f t="shared" si="25"/>
        <v>6961453</v>
      </c>
      <c r="AF118" s="98">
        <f t="shared" si="25"/>
        <v>0</v>
      </c>
      <c r="AG118" s="98">
        <f t="shared" si="25"/>
        <v>7033613</v>
      </c>
      <c r="AH118" s="98">
        <f t="shared" si="25"/>
        <v>0</v>
      </c>
      <c r="AI118" s="98">
        <f t="shared" si="25"/>
        <v>7553056</v>
      </c>
      <c r="AJ118" s="98">
        <f t="shared" si="25"/>
        <v>0</v>
      </c>
      <c r="AK118" s="98">
        <f t="shared" si="25"/>
        <v>7288645</v>
      </c>
      <c r="AL118" s="98">
        <f t="shared" si="25"/>
        <v>0</v>
      </c>
      <c r="AM118" s="98">
        <f t="shared" si="25"/>
        <v>7682586</v>
      </c>
      <c r="AN118" s="98">
        <f t="shared" si="25"/>
        <v>0</v>
      </c>
      <c r="AO118" s="98">
        <f t="shared" si="25"/>
        <v>7898175</v>
      </c>
      <c r="AP118" s="98">
        <f t="shared" si="25"/>
        <v>0</v>
      </c>
      <c r="AQ118" s="98">
        <f t="shared" si="25"/>
        <v>8688175</v>
      </c>
      <c r="AR118" s="98">
        <f t="shared" si="25"/>
        <v>0</v>
      </c>
      <c r="AS118" s="98">
        <f t="shared" si="25"/>
        <v>8992060</v>
      </c>
      <c r="AT118" s="98">
        <f t="shared" si="25"/>
        <v>0</v>
      </c>
    </row>
    <row r="119" spans="2:46" ht="13.15" x14ac:dyDescent="0.35">
      <c r="B119" s="99"/>
      <c r="C119" s="97" t="s">
        <v>139</v>
      </c>
      <c r="E119" s="47">
        <f>[2]!s_stmnote_bank_614($C$6,E6,1,2,1000000)</f>
        <v>0</v>
      </c>
      <c r="F119" s="47">
        <f>[2]!s_stmnote_bank_614($C$6,F6,1,2,1000000)</f>
        <v>0</v>
      </c>
      <c r="G119" s="47">
        <f>[2]!s_stmnote_bank_614($C$6,G6,1,2,1000000)</f>
        <v>0</v>
      </c>
      <c r="H119" s="47">
        <f>[2]!s_stmnote_bank_614($C$6,H6,1,2,1000000)</f>
        <v>0</v>
      </c>
      <c r="I119" s="47">
        <f>[2]!s_stmnote_bank_614($C$6,I6,1,2,1000000)</f>
        <v>2362830</v>
      </c>
      <c r="J119" s="47">
        <f>[2]!s_stmnote_bank_614($C$6,J6,1,2,1000000)</f>
        <v>0</v>
      </c>
      <c r="K119" s="47">
        <f>[2]!s_stmnote_bank_614($C$6,K6,1,2,1000000)</f>
        <v>2400159</v>
      </c>
      <c r="L119" s="47">
        <f>[2]!s_stmnote_bank_614($C$6,L6,1,2,1000000)</f>
        <v>0</v>
      </c>
      <c r="M119" s="47">
        <f>[2]!s_stmnote_bank_614($C$6,M6,1,2,1000000)</f>
        <v>2558060</v>
      </c>
      <c r="N119" s="47">
        <f>[2]!s_stmnote_bank_614($C$6,N6,1,2,1000000)</f>
        <v>0</v>
      </c>
      <c r="O119" s="47">
        <f>[2]!s_stmnote_bank_614($C$6,O6,1,2,1000000)</f>
        <v>2976113</v>
      </c>
      <c r="P119" s="47">
        <f>[2]!s_stmnote_bank_614($C$6,P6,1,2,1000000)</f>
        <v>0</v>
      </c>
      <c r="Q119" s="47">
        <f>[2]!s_stmnote_bank_614($C$6,Q6,1,2,1000000)</f>
        <v>3162661</v>
      </c>
      <c r="R119" s="47">
        <f>[2]!s_stmnote_bank_614($C$6,R6,1,2,1000000)</f>
        <v>0</v>
      </c>
      <c r="S119" s="47">
        <f>[2]!s_stmnote_bank_614($C$6,S6,1,2,1000000)</f>
        <v>3448278</v>
      </c>
      <c r="T119" s="47">
        <f>[2]!s_stmnote_bank_614($C$6,T6,1,2,1000000)</f>
        <v>0</v>
      </c>
      <c r="U119" s="47">
        <f>[2]!s_stmnote_bank_614($C$6,U6,1,2,1000000)</f>
        <v>3545704</v>
      </c>
      <c r="V119" s="47">
        <f>[2]!s_stmnote_bank_614($C$6,V6,1,2,1000000)</f>
        <v>0</v>
      </c>
      <c r="W119" s="47">
        <f>[2]!s_stmnote_bank_614($C$6,W6,1,2,1000000)</f>
        <v>3788051</v>
      </c>
      <c r="X119" s="47">
        <f>[2]!s_stmnote_bank_614($C$6,X6,1,2,1000000)</f>
        <v>0</v>
      </c>
      <c r="Y119" s="47">
        <f>[2]!s_stmnote_bank_614($C$6,Y6,1,2,1000000)</f>
        <v>3759660</v>
      </c>
      <c r="Z119" s="47">
        <f>[2]!s_stmnote_bank_614($C$6,Z6,1,2,1000000)</f>
        <v>0</v>
      </c>
      <c r="AA119" s="47">
        <f>[2]!s_stmnote_bank_614($C$6,AA6,1,2,1000000)</f>
        <v>3838407</v>
      </c>
      <c r="AB119" s="47">
        <f>[2]!s_stmnote_bank_614($C$6,AB6,1,2,1000000)</f>
        <v>0</v>
      </c>
      <c r="AC119" s="47">
        <f>[2]!s_stmnote_bank_614($C$6,AC6,1,2,1000000)</f>
        <v>3993173</v>
      </c>
      <c r="AD119" s="47">
        <f>[2]!s_stmnote_bank_614($C$6,AD6,1,2,1000000)</f>
        <v>0</v>
      </c>
      <c r="AE119" s="47">
        <f>[2]!s_stmnote_bank_614($C$6,AE6,1,2,1000000)</f>
        <v>3954207</v>
      </c>
      <c r="AF119" s="47">
        <f>[2]!s_stmnote_bank_614($C$6,AF6,1,2,1000000)</f>
        <v>0</v>
      </c>
      <c r="AG119" s="47">
        <f>[2]!s_stmnote_bank_614($C$6,AG6,1,2,1000000)</f>
        <v>4038872</v>
      </c>
      <c r="AH119" s="47">
        <f>[2]!s_stmnote_bank_614($C$6,AH6,1,2,1000000)</f>
        <v>0</v>
      </c>
      <c r="AI119" s="47">
        <f>[2]!s_stmnote_bank_614($C$6,AI6,1,2,1000000)</f>
        <v>4276548</v>
      </c>
      <c r="AJ119" s="47">
        <f>[2]!s_stmnote_bank_614($C$6,AJ6,1,2,1000000)</f>
        <v>0</v>
      </c>
      <c r="AK119" s="47">
        <f>[2]!s_stmnote_bank_614($C$6,AK6,1,2,1000000)</f>
        <v>4134828</v>
      </c>
      <c r="AL119" s="47">
        <f>[2]!s_stmnote_bank_614($C$6,AL6,1,2,1000000)</f>
        <v>0</v>
      </c>
      <c r="AM119" s="47">
        <f>[2]!s_stmnote_bank_614($C$6,AM6,1,2,1000000)</f>
        <v>4392924</v>
      </c>
      <c r="AN119" s="47">
        <f>[2]!s_stmnote_bank_614($C$6,AN6,1,2,1000000)</f>
        <v>0</v>
      </c>
      <c r="AO119" s="47">
        <f>[2]!s_stmnote_bank_614($C$6,AO6,1,2,1000000)</f>
        <v>4507661</v>
      </c>
      <c r="AP119" s="47">
        <f>[2]!s_stmnote_bank_614($C$6,AP6,1,2,1000000)</f>
        <v>0</v>
      </c>
      <c r="AQ119" s="47">
        <f>[2]!s_stmnote_bank_614($C$6,AQ6,1,2,1000000)</f>
        <v>5162202</v>
      </c>
      <c r="AR119" s="47">
        <f>[2]!s_stmnote_bank_614($C$6,AR6,1,2,1000000)</f>
        <v>0</v>
      </c>
      <c r="AS119" s="47">
        <f>[2]!s_stmnote_bank_614($C$6,AS6,1,2,1000000)</f>
        <v>5271686</v>
      </c>
      <c r="AT119" s="47">
        <f>[2]!s_stmnote_bank_614($C$6,AT6,1,2,1000000)</f>
        <v>0</v>
      </c>
    </row>
    <row r="120" spans="2:46" ht="13.15" x14ac:dyDescent="0.35">
      <c r="B120" s="99"/>
      <c r="C120" s="97" t="s">
        <v>140</v>
      </c>
      <c r="E120" s="47">
        <f>[2]!s_stmnote_bank_612($C$6,E6,1,2,1000000)</f>
        <v>0</v>
      </c>
      <c r="F120" s="47">
        <f>[2]!s_stmnote_bank_612($C$6,F6,1,2,1000000)</f>
        <v>0</v>
      </c>
      <c r="G120" s="47">
        <f>[2]!s_stmnote_bank_612($C$6,G6,1,2,1000000)</f>
        <v>0</v>
      </c>
      <c r="H120" s="47">
        <f>[2]!s_stmnote_bank_612($C$6,H6,1,2,1000000)</f>
        <v>0</v>
      </c>
      <c r="I120" s="47">
        <f>[2]!s_stmnote_bank_612($C$6,I6,1,2,1000000)</f>
        <v>1174568</v>
      </c>
      <c r="J120" s="47">
        <f>[2]!s_stmnote_bank_612($C$6,J6,1,2,1000000)</f>
        <v>0</v>
      </c>
      <c r="K120" s="47">
        <f>[2]!s_stmnote_bank_612($C$6,K6,1,2,1000000)</f>
        <v>1245788</v>
      </c>
      <c r="L120" s="47">
        <f>[2]!s_stmnote_bank_612($C$6,L6,1,2,1000000)</f>
        <v>0</v>
      </c>
      <c r="M120" s="47">
        <f>[2]!s_stmnote_bank_612($C$6,M6,1,2,1000000)</f>
        <v>1431983</v>
      </c>
      <c r="N120" s="47">
        <f>[2]!s_stmnote_bank_612($C$6,N6,1,2,1000000)</f>
        <v>0</v>
      </c>
      <c r="O120" s="47">
        <f>[2]!s_stmnote_bank_612($C$6,O6,1,2,1000000)</f>
        <v>1740969</v>
      </c>
      <c r="P120" s="47">
        <f>[2]!s_stmnote_bank_612($C$6,P6,1,2,1000000)</f>
        <v>0</v>
      </c>
      <c r="Q120" s="47">
        <f>[2]!s_stmnote_bank_612($C$6,Q6,1,2,1000000)</f>
        <v>1808235</v>
      </c>
      <c r="R120" s="47">
        <f>[2]!s_stmnote_bank_612($C$6,R6,1,2,1000000)</f>
        <v>0</v>
      </c>
      <c r="S120" s="47">
        <f>[2]!s_stmnote_bank_612($C$6,S6,1,2,1000000)</f>
        <v>2054883</v>
      </c>
      <c r="T120" s="47">
        <f>[2]!s_stmnote_bank_612($C$6,T6,1,2,1000000)</f>
        <v>0</v>
      </c>
      <c r="U120" s="47">
        <f>[2]!s_stmnote_bank_612($C$6,U6,1,2,1000000)</f>
        <v>2252712</v>
      </c>
      <c r="V120" s="47">
        <f>[2]!s_stmnote_bank_612($C$6,V6,1,2,1000000)</f>
        <v>0</v>
      </c>
      <c r="W120" s="47">
        <f>[2]!s_stmnote_bank_612($C$6,W6,1,2,1000000)</f>
        <v>2453220</v>
      </c>
      <c r="X120" s="47">
        <f>[2]!s_stmnote_bank_612($C$6,X6,1,2,1000000)</f>
        <v>0</v>
      </c>
      <c r="Y120" s="47">
        <f>[2]!s_stmnote_bank_612($C$6,Y6,1,2,1000000)</f>
        <v>2547674</v>
      </c>
      <c r="Z120" s="47">
        <f>[2]!s_stmnote_bank_612($C$6,Z6,1,2,1000000)</f>
        <v>0</v>
      </c>
      <c r="AA120" s="47">
        <f>[2]!s_stmnote_bank_612($C$6,AA6,1,2,1000000)</f>
        <v>2664102</v>
      </c>
      <c r="AB120" s="47">
        <f>[2]!s_stmnote_bank_612($C$6,AB6,1,2,1000000)</f>
        <v>0</v>
      </c>
      <c r="AC120" s="47">
        <f>[2]!s_stmnote_bank_612($C$6,AC6,1,2,1000000)</f>
        <v>2800169</v>
      </c>
      <c r="AD120" s="47">
        <f>[2]!s_stmnote_bank_612($C$6,AD6,1,2,1000000)</f>
        <v>0</v>
      </c>
      <c r="AE120" s="47">
        <f>[2]!s_stmnote_bank_612($C$6,AE6,1,2,1000000)</f>
        <v>3007246</v>
      </c>
      <c r="AF120" s="47">
        <f>[2]!s_stmnote_bank_612($C$6,AF6,1,2,1000000)</f>
        <v>0</v>
      </c>
      <c r="AG120" s="47">
        <f>[2]!s_stmnote_bank_612($C$6,AG6,1,2,1000000)</f>
        <v>2994741</v>
      </c>
      <c r="AH120" s="47">
        <f>[2]!s_stmnote_bank_612($C$6,AH6,1,2,1000000)</f>
        <v>0</v>
      </c>
      <c r="AI120" s="47">
        <f>[2]!s_stmnote_bank_612($C$6,AI6,1,2,1000000)</f>
        <v>3276508</v>
      </c>
      <c r="AJ120" s="47">
        <f>[2]!s_stmnote_bank_612($C$6,AJ6,1,2,1000000)</f>
        <v>0</v>
      </c>
      <c r="AK120" s="47">
        <f>[2]!s_stmnote_bank_612($C$6,AK6,1,2,1000000)</f>
        <v>3153817</v>
      </c>
      <c r="AL120" s="47">
        <f>[2]!s_stmnote_bank_612($C$6,AL6,1,2,1000000)</f>
        <v>0</v>
      </c>
      <c r="AM120" s="47">
        <f>[2]!s_stmnote_bank_612($C$6,AM6,1,2,1000000)</f>
        <v>3289662</v>
      </c>
      <c r="AN120" s="47">
        <f>[2]!s_stmnote_bank_612($C$6,AN6,1,2,1000000)</f>
        <v>0</v>
      </c>
      <c r="AO120" s="47">
        <f>[2]!s_stmnote_bank_612($C$6,AO6,1,2,1000000)</f>
        <v>3390514</v>
      </c>
      <c r="AP120" s="47">
        <f>[2]!s_stmnote_bank_612($C$6,AP6,1,2,1000000)</f>
        <v>0</v>
      </c>
      <c r="AQ120" s="47">
        <f>[2]!s_stmnote_bank_612($C$6,AQ6,1,2,1000000)</f>
        <v>3525973</v>
      </c>
      <c r="AR120" s="47">
        <f>[2]!s_stmnote_bank_612($C$6,AR6,1,2,1000000)</f>
        <v>0</v>
      </c>
      <c r="AS120" s="47">
        <f>[2]!s_stmnote_bank_612($C$6,AS6,1,2,1000000)</f>
        <v>3720374</v>
      </c>
      <c r="AT120" s="47">
        <f>[2]!s_stmnote_bank_612($C$6,AT6,1,2,1000000)</f>
        <v>0</v>
      </c>
    </row>
    <row r="121" spans="2:46" ht="13.5" x14ac:dyDescent="0.4">
      <c r="B121" s="108"/>
      <c r="C121" s="97" t="s">
        <v>141</v>
      </c>
      <c r="E121" s="109">
        <f>E122+E123</f>
        <v>0</v>
      </c>
      <c r="F121" s="109">
        <f t="shared" ref="F121:AT121" si="26">F122+F123</f>
        <v>0</v>
      </c>
      <c r="G121" s="109">
        <f t="shared" si="26"/>
        <v>0</v>
      </c>
      <c r="H121" s="109">
        <f t="shared" si="26"/>
        <v>0</v>
      </c>
      <c r="I121" s="109">
        <f t="shared" si="26"/>
        <v>3109359</v>
      </c>
      <c r="J121" s="109">
        <f t="shared" si="26"/>
        <v>0</v>
      </c>
      <c r="K121" s="109">
        <f t="shared" si="26"/>
        <v>3636003</v>
      </c>
      <c r="L121" s="109">
        <f t="shared" si="26"/>
        <v>0</v>
      </c>
      <c r="M121" s="109">
        <f t="shared" si="26"/>
        <v>3959172</v>
      </c>
      <c r="N121" s="109">
        <f t="shared" si="26"/>
        <v>0</v>
      </c>
      <c r="O121" s="109">
        <f t="shared" si="26"/>
        <v>4560500</v>
      </c>
      <c r="P121" s="109">
        <f t="shared" si="26"/>
        <v>0</v>
      </c>
      <c r="Q121" s="109">
        <f t="shared" si="26"/>
        <v>4478026</v>
      </c>
      <c r="R121" s="109">
        <f t="shared" si="26"/>
        <v>0</v>
      </c>
      <c r="S121" s="109">
        <f t="shared" si="26"/>
        <v>4952712</v>
      </c>
      <c r="T121" s="109">
        <f t="shared" si="26"/>
        <v>0</v>
      </c>
      <c r="U121" s="109">
        <f t="shared" si="26"/>
        <v>4916550</v>
      </c>
      <c r="V121" s="109">
        <f t="shared" si="26"/>
        <v>0</v>
      </c>
      <c r="W121" s="109">
        <f t="shared" si="26"/>
        <v>5338391</v>
      </c>
      <c r="X121" s="109">
        <f t="shared" si="26"/>
        <v>0</v>
      </c>
      <c r="Y121" s="109">
        <f t="shared" si="26"/>
        <v>5465274</v>
      </c>
      <c r="Z121" s="109">
        <f t="shared" si="26"/>
        <v>0</v>
      </c>
      <c r="AA121" s="109">
        <f t="shared" si="26"/>
        <v>6175557</v>
      </c>
      <c r="AB121" s="109">
        <f t="shared" si="26"/>
        <v>0</v>
      </c>
      <c r="AC121" s="109">
        <f t="shared" si="26"/>
        <v>6669190</v>
      </c>
      <c r="AD121" s="109">
        <f t="shared" si="26"/>
        <v>0</v>
      </c>
      <c r="AE121" s="109">
        <f t="shared" si="26"/>
        <v>7302293</v>
      </c>
      <c r="AF121" s="109">
        <f t="shared" si="26"/>
        <v>0</v>
      </c>
      <c r="AG121" s="109">
        <f t="shared" si="26"/>
        <v>7365723</v>
      </c>
      <c r="AH121" s="109">
        <f t="shared" si="26"/>
        <v>0</v>
      </c>
      <c r="AI121" s="109">
        <f t="shared" si="26"/>
        <v>7897519</v>
      </c>
      <c r="AJ121" s="109">
        <f t="shared" si="26"/>
        <v>0</v>
      </c>
      <c r="AK121" s="109">
        <f t="shared" si="26"/>
        <v>7937095</v>
      </c>
      <c r="AL121" s="109">
        <f t="shared" si="26"/>
        <v>0</v>
      </c>
      <c r="AM121" s="109">
        <f t="shared" si="26"/>
        <v>8338031</v>
      </c>
      <c r="AN121" s="109">
        <f t="shared" si="26"/>
        <v>0</v>
      </c>
      <c r="AO121" s="109">
        <f t="shared" si="26"/>
        <v>8139953</v>
      </c>
      <c r="AP121" s="109">
        <f t="shared" si="26"/>
        <v>0</v>
      </c>
      <c r="AQ121" s="109">
        <f t="shared" si="26"/>
        <v>8458634</v>
      </c>
      <c r="AR121" s="109">
        <f t="shared" si="26"/>
        <v>0</v>
      </c>
      <c r="AS121" s="109">
        <f t="shared" si="26"/>
        <v>8596741</v>
      </c>
      <c r="AT121" s="109">
        <f t="shared" si="26"/>
        <v>0</v>
      </c>
    </row>
    <row r="122" spans="2:46" ht="13.5" x14ac:dyDescent="0.4">
      <c r="B122" s="108"/>
      <c r="C122" s="97" t="s">
        <v>139</v>
      </c>
      <c r="E122" s="47">
        <f>[2]!s_stmnote_bank_613($C$6,E6,1,2,1000000)</f>
        <v>0</v>
      </c>
      <c r="F122" s="47">
        <f>[2]!s_stmnote_bank_613($C$6,F6,1,2,1000000)</f>
        <v>0</v>
      </c>
      <c r="G122" s="47">
        <f>[2]!s_stmnote_bank_613($C$6,G6,1,2,1000000)</f>
        <v>0</v>
      </c>
      <c r="H122" s="47">
        <f>[2]!s_stmnote_bank_613($C$6,H6,1,2,1000000)</f>
        <v>0</v>
      </c>
      <c r="I122" s="47">
        <f>[2]!s_stmnote_bank_613($C$6,I6,1,2,1000000)</f>
        <v>1039853</v>
      </c>
      <c r="J122" s="47">
        <f>[2]!s_stmnote_bank_613($C$6,J6,1,2,1000000)</f>
        <v>0</v>
      </c>
      <c r="K122" s="47">
        <f>[2]!s_stmnote_bank_613($C$6,K6,1,2,1000000)</f>
        <v>1289722</v>
      </c>
      <c r="L122" s="47">
        <f>[2]!s_stmnote_bank_613($C$6,L6,1,2,1000000)</f>
        <v>0</v>
      </c>
      <c r="M122" s="47">
        <f>[2]!s_stmnote_bank_613($C$6,M6,1,2,1000000)</f>
        <v>1380907</v>
      </c>
      <c r="N122" s="47">
        <f>[2]!s_stmnote_bank_613($C$6,N6,1,2,1000000)</f>
        <v>0</v>
      </c>
      <c r="O122" s="47">
        <f>[2]!s_stmnote_bank_613($C$6,O6,1,2,1000000)</f>
        <v>1745091</v>
      </c>
      <c r="P122" s="47">
        <f>[2]!s_stmnote_bank_613($C$6,P6,1,2,1000000)</f>
        <v>0</v>
      </c>
      <c r="Q122" s="47">
        <f>[2]!s_stmnote_bank_613($C$6,Q6,1,2,1000000)</f>
        <v>1625829</v>
      </c>
      <c r="R122" s="47">
        <f>[2]!s_stmnote_bank_613($C$6,R6,1,2,1000000)</f>
        <v>0</v>
      </c>
      <c r="S122" s="47">
        <f>[2]!s_stmnote_bank_613($C$6,S6,1,2,1000000)</f>
        <v>1914605</v>
      </c>
      <c r="T122" s="47">
        <f>[2]!s_stmnote_bank_613($C$6,T6,1,2,1000000)</f>
        <v>0</v>
      </c>
      <c r="U122" s="47">
        <f>[2]!s_stmnote_bank_613($C$6,U6,1,2,1000000)</f>
        <v>1925605</v>
      </c>
      <c r="V122" s="47">
        <f>[2]!s_stmnote_bank_613($C$6,V6,1,2,1000000)</f>
        <v>0</v>
      </c>
      <c r="W122" s="47">
        <f>[2]!s_stmnote_bank_613($C$6,W6,1,2,1000000)</f>
        <v>2112556</v>
      </c>
      <c r="X122" s="47">
        <f>[2]!s_stmnote_bank_613($C$6,X6,1,2,1000000)</f>
        <v>0</v>
      </c>
      <c r="Y122" s="47">
        <f>[2]!s_stmnote_bank_613($C$6,Y6,1,2,1000000)</f>
        <v>2169089</v>
      </c>
      <c r="Z122" s="47">
        <f>[2]!s_stmnote_bank_613($C$6,Z6,1,2,1000000)</f>
        <v>0</v>
      </c>
      <c r="AA122" s="47">
        <f>[2]!s_stmnote_bank_613($C$6,AA6,1,2,1000000)</f>
        <v>2533194</v>
      </c>
      <c r="AB122" s="47">
        <f>[2]!s_stmnote_bank_613($C$6,AB6,1,2,1000000)</f>
        <v>0</v>
      </c>
      <c r="AC122" s="47">
        <f>[2]!s_stmnote_bank_613($C$6,AC6,1,2,1000000)</f>
        <v>2915072</v>
      </c>
      <c r="AD122" s="47">
        <f>[2]!s_stmnote_bank_613($C$6,AD6,1,2,1000000)</f>
        <v>0</v>
      </c>
      <c r="AE122" s="47">
        <f>[2]!s_stmnote_bank_613($C$6,AE6,1,2,1000000)</f>
        <v>3323182</v>
      </c>
      <c r="AF122" s="47">
        <f>[2]!s_stmnote_bank_613($C$6,AF6,1,2,1000000)</f>
        <v>0</v>
      </c>
      <c r="AG122" s="47">
        <f>[2]!s_stmnote_bank_613($C$6,AG6,1,2,1000000)</f>
        <v>3464625</v>
      </c>
      <c r="AH122" s="47">
        <f>[2]!s_stmnote_bank_613($C$6,AH6,1,2,1000000)</f>
        <v>0</v>
      </c>
      <c r="AI122" s="47">
        <f>[2]!s_stmnote_bank_613($C$6,AI6,1,2,1000000)</f>
        <v>3843649</v>
      </c>
      <c r="AJ122" s="47">
        <f>[2]!s_stmnote_bank_613($C$6,AJ6,1,2,1000000)</f>
        <v>0</v>
      </c>
      <c r="AK122" s="47">
        <f>[2]!s_stmnote_bank_613($C$6,AK6,1,2,1000000)</f>
        <v>3902305</v>
      </c>
      <c r="AL122" s="47">
        <f>[2]!s_stmnote_bank_613($C$6,AL6,1,2,1000000)</f>
        <v>0</v>
      </c>
      <c r="AM122" s="47">
        <f>[2]!s_stmnote_bank_613($C$6,AM6,1,2,1000000)</f>
        <v>4119119</v>
      </c>
      <c r="AN122" s="47">
        <f>[2]!s_stmnote_bank_613($C$6,AN6,1,2,1000000)</f>
        <v>0</v>
      </c>
      <c r="AO122" s="47">
        <f>[2]!s_stmnote_bank_613($C$6,AO6,1,2,1000000)</f>
        <v>3929353</v>
      </c>
      <c r="AP122" s="47">
        <f>[2]!s_stmnote_bank_613($C$6,AP6,1,2,1000000)</f>
        <v>0</v>
      </c>
      <c r="AQ122" s="47">
        <f>[2]!s_stmnote_bank_613($C$6,AQ6,1,2,1000000)</f>
        <v>4093814</v>
      </c>
      <c r="AR122" s="47">
        <f>[2]!s_stmnote_bank_613($C$6,AR6,1,2,1000000)</f>
        <v>0</v>
      </c>
      <c r="AS122" s="47">
        <f>[2]!s_stmnote_bank_613($C$6,AS6,1,2,1000000)</f>
        <v>4176834</v>
      </c>
      <c r="AT122" s="47">
        <f>[2]!s_stmnote_bank_613($C$6,AT6,1,2,1000000)</f>
        <v>0</v>
      </c>
    </row>
    <row r="123" spans="2:46" ht="13.5" x14ac:dyDescent="0.4">
      <c r="B123" s="108"/>
      <c r="C123" s="97" t="s">
        <v>140</v>
      </c>
      <c r="E123" s="47">
        <f>[2]!s_stmnote_bank_611($C$6,E6,1,2,1000000)</f>
        <v>0</v>
      </c>
      <c r="F123" s="47">
        <f>[2]!s_stmnote_bank_611($C$6,F6,1,2,1000000)</f>
        <v>0</v>
      </c>
      <c r="G123" s="47">
        <f>[2]!s_stmnote_bank_611($C$6,G6,1,2,1000000)</f>
        <v>0</v>
      </c>
      <c r="H123" s="47">
        <f>[2]!s_stmnote_bank_611($C$6,H6,1,2,1000000)</f>
        <v>0</v>
      </c>
      <c r="I123" s="47">
        <f>[2]!s_stmnote_bank_611($C$6,I6,1,2,1000000)</f>
        <v>2069506</v>
      </c>
      <c r="J123" s="47">
        <f>[2]!s_stmnote_bank_611($C$6,J6,1,2,1000000)</f>
        <v>0</v>
      </c>
      <c r="K123" s="47">
        <f>[2]!s_stmnote_bank_611($C$6,K6,1,2,1000000)</f>
        <v>2346281</v>
      </c>
      <c r="L123" s="47">
        <f>[2]!s_stmnote_bank_611($C$6,L6,1,2,1000000)</f>
        <v>0</v>
      </c>
      <c r="M123" s="47">
        <f>[2]!s_stmnote_bank_611($C$6,M6,1,2,1000000)</f>
        <v>2578265</v>
      </c>
      <c r="N123" s="47">
        <f>[2]!s_stmnote_bank_611($C$6,N6,1,2,1000000)</f>
        <v>0</v>
      </c>
      <c r="O123" s="47">
        <f>[2]!s_stmnote_bank_611($C$6,O6,1,2,1000000)</f>
        <v>2815409</v>
      </c>
      <c r="P123" s="47">
        <f>[2]!s_stmnote_bank_611($C$6,P6,1,2,1000000)</f>
        <v>0</v>
      </c>
      <c r="Q123" s="47">
        <f>[2]!s_stmnote_bank_611($C$6,Q6,1,2,1000000)</f>
        <v>2852197</v>
      </c>
      <c r="R123" s="47">
        <f>[2]!s_stmnote_bank_611($C$6,R6,1,2,1000000)</f>
        <v>0</v>
      </c>
      <c r="S123" s="47">
        <f>[2]!s_stmnote_bank_611($C$6,S6,1,2,1000000)</f>
        <v>3038107</v>
      </c>
      <c r="T123" s="47">
        <f>[2]!s_stmnote_bank_611($C$6,T6,1,2,1000000)</f>
        <v>0</v>
      </c>
      <c r="U123" s="47">
        <f>[2]!s_stmnote_bank_611($C$6,U6,1,2,1000000)</f>
        <v>2990945</v>
      </c>
      <c r="V123" s="47">
        <f>[2]!s_stmnote_bank_611($C$6,V6,1,2,1000000)</f>
        <v>0</v>
      </c>
      <c r="W123" s="47">
        <f>[2]!s_stmnote_bank_611($C$6,W6,1,2,1000000)</f>
        <v>3225835</v>
      </c>
      <c r="X123" s="47">
        <f>[2]!s_stmnote_bank_611($C$6,X6,1,2,1000000)</f>
        <v>0</v>
      </c>
      <c r="Y123" s="47">
        <f>[2]!s_stmnote_bank_611($C$6,Y6,1,2,1000000)</f>
        <v>3296185</v>
      </c>
      <c r="Z123" s="47">
        <f>[2]!s_stmnote_bank_611($C$6,Z6,1,2,1000000)</f>
        <v>0</v>
      </c>
      <c r="AA123" s="47">
        <f>[2]!s_stmnote_bank_611($C$6,AA6,1,2,1000000)</f>
        <v>3642363</v>
      </c>
      <c r="AB123" s="47">
        <f>[2]!s_stmnote_bank_611($C$6,AB6,1,2,1000000)</f>
        <v>0</v>
      </c>
      <c r="AC123" s="47">
        <f>[2]!s_stmnote_bank_611($C$6,AC6,1,2,1000000)</f>
        <v>3754118</v>
      </c>
      <c r="AD123" s="47">
        <f>[2]!s_stmnote_bank_611($C$6,AD6,1,2,1000000)</f>
        <v>0</v>
      </c>
      <c r="AE123" s="47">
        <f>[2]!s_stmnote_bank_611($C$6,AE6,1,2,1000000)</f>
        <v>3979111</v>
      </c>
      <c r="AF123" s="47">
        <f>[2]!s_stmnote_bank_611($C$6,AF6,1,2,1000000)</f>
        <v>0</v>
      </c>
      <c r="AG123" s="47">
        <f>[2]!s_stmnote_bank_611($C$6,AG6,1,2,1000000)</f>
        <v>3901098</v>
      </c>
      <c r="AH123" s="47">
        <f>[2]!s_stmnote_bank_611($C$6,AH6,1,2,1000000)</f>
        <v>0</v>
      </c>
      <c r="AI123" s="47">
        <f>[2]!s_stmnote_bank_611($C$6,AI6,1,2,1000000)</f>
        <v>4053870</v>
      </c>
      <c r="AJ123" s="47">
        <f>[2]!s_stmnote_bank_611($C$6,AJ6,1,2,1000000)</f>
        <v>0</v>
      </c>
      <c r="AK123" s="47">
        <f>[2]!s_stmnote_bank_611($C$6,AK6,1,2,1000000)</f>
        <v>4034790</v>
      </c>
      <c r="AL123" s="47">
        <f>[2]!s_stmnote_bank_611($C$6,AL6,1,2,1000000)</f>
        <v>0</v>
      </c>
      <c r="AM123" s="47">
        <f>[2]!s_stmnote_bank_611($C$6,AM6,1,2,1000000)</f>
        <v>4218912</v>
      </c>
      <c r="AN123" s="47">
        <f>[2]!s_stmnote_bank_611($C$6,AN6,1,2,1000000)</f>
        <v>0</v>
      </c>
      <c r="AO123" s="47">
        <f>[2]!s_stmnote_bank_611($C$6,AO6,1,2,1000000)</f>
        <v>4210600</v>
      </c>
      <c r="AP123" s="47">
        <f>[2]!s_stmnote_bank_611($C$6,AP6,1,2,1000000)</f>
        <v>0</v>
      </c>
      <c r="AQ123" s="47">
        <f>[2]!s_stmnote_bank_611($C$6,AQ6,1,2,1000000)</f>
        <v>4364820</v>
      </c>
      <c r="AR123" s="47">
        <f>[2]!s_stmnote_bank_611($C$6,AR6,1,2,1000000)</f>
        <v>0</v>
      </c>
      <c r="AS123" s="47">
        <f>[2]!s_stmnote_bank_611($C$6,AS6,1,2,1000000)</f>
        <v>4419907</v>
      </c>
      <c r="AT123" s="47">
        <f>[2]!s_stmnote_bank_611($C$6,AT6,1,2,1000000)</f>
        <v>0</v>
      </c>
    </row>
    <row r="124" spans="2:46" ht="13.5" x14ac:dyDescent="0.4">
      <c r="B124" s="108"/>
      <c r="C124" s="97" t="s">
        <v>142</v>
      </c>
      <c r="E124" s="52">
        <f>[2]!s_stmnote_bank_615($C$6,E6,1,2,1000000)</f>
        <v>0</v>
      </c>
      <c r="F124" s="52">
        <f>[2]!s_stmnote_bank_615($C$6,F6,1,2,1000000)</f>
        <v>0</v>
      </c>
      <c r="G124" s="52">
        <f>[2]!s_stmnote_bank_615($C$6,G6,1,2,1000000)</f>
        <v>0</v>
      </c>
      <c r="H124" s="52">
        <f>[2]!s_stmnote_bank_615($C$6,H6,1,2,1000000)</f>
        <v>0</v>
      </c>
      <c r="I124" s="52">
        <f>[2]!s_stmnote_bank_615($C$6,I6,1,2,1000000)</f>
        <v>251656</v>
      </c>
      <c r="J124" s="52">
        <f>[2]!s_stmnote_bank_615($C$6,J6,1,2,1000000)</f>
        <v>0</v>
      </c>
      <c r="K124" s="52">
        <f>[2]!s_stmnote_bank_615($C$6,K6,1,2,1000000)</f>
        <v>256798</v>
      </c>
      <c r="L124" s="52">
        <f>[2]!s_stmnote_bank_615($C$6,L6,1,2,1000000)</f>
        <v>0</v>
      </c>
      <c r="M124" s="52">
        <f>[2]!s_stmnote_bank_615($C$6,M6,1,2,1000000)</f>
        <v>274231</v>
      </c>
      <c r="N124" s="52">
        <f>[2]!s_stmnote_bank_615($C$6,N6,1,2,1000000)</f>
        <v>0</v>
      </c>
      <c r="O124" s="52">
        <f>[2]!s_stmnote_bank_615($C$6,O6,1,2,1000000)</f>
        <v>255535</v>
      </c>
      <c r="P124" s="52">
        <f>[2]!s_stmnote_bank_615($C$6,P6,1,2,1000000)</f>
        <v>0</v>
      </c>
      <c r="Q124" s="52">
        <f>[2]!s_stmnote_bank_615($C$6,Q6,1,2,1000000)</f>
        <v>322355</v>
      </c>
      <c r="R124" s="52">
        <f>[2]!s_stmnote_bank_615($C$6,R6,1,2,1000000)</f>
        <v>0</v>
      </c>
      <c r="S124" s="52">
        <f>[2]!s_stmnote_bank_615($C$6,S6,1,2,1000000)</f>
        <v>376916</v>
      </c>
      <c r="T124" s="52">
        <f>[2]!s_stmnote_bank_615($C$6,T6,1,2,1000000)</f>
        <v>0</v>
      </c>
      <c r="U124" s="52">
        <f>[2]!s_stmnote_bank_615($C$6,U6,1,2,1000000)</f>
        <v>430591</v>
      </c>
      <c r="V124" s="52">
        <f>[2]!s_stmnote_bank_615($C$6,V6,1,2,1000000)</f>
        <v>0</v>
      </c>
      <c r="W124" s="52">
        <f>[2]!s_stmnote_bank_615($C$6,W6,1,2,1000000)</f>
        <v>467476</v>
      </c>
      <c r="X124" s="52">
        <f>[2]!s_stmnote_bank_615($C$6,X6,1,2,1000000)</f>
        <v>0</v>
      </c>
      <c r="Y124" s="52">
        <f>[2]!s_stmnote_bank_615($C$6,Y6,1,2,1000000)</f>
        <v>488611</v>
      </c>
      <c r="Z124" s="52">
        <f>[2]!s_stmnote_bank_615($C$6,Z6,1,2,1000000)</f>
        <v>0</v>
      </c>
      <c r="AA124" s="52">
        <f>[2]!s_stmnote_bank_615($C$6,AA6,1,2,1000000)</f>
        <v>502531</v>
      </c>
      <c r="AB124" s="52">
        <f>[2]!s_stmnote_bank_615($C$6,AB6,1,2,1000000)</f>
        <v>0</v>
      </c>
      <c r="AC124" s="52">
        <f>[2]!s_stmnote_bank_615($C$6,AC6,1,2,1000000)</f>
        <v>180378</v>
      </c>
      <c r="AD124" s="52">
        <f>[2]!s_stmnote_bank_615($C$6,AD6,1,2,1000000)</f>
        <v>0</v>
      </c>
      <c r="AE124" s="52">
        <f>[2]!s_stmnote_bank_615($C$6,AE6,1,2,1000000)</f>
        <v>244656</v>
      </c>
      <c r="AF124" s="52">
        <f>[2]!s_stmnote_bank_615($C$6,AF6,1,2,1000000)</f>
        <v>0</v>
      </c>
      <c r="AG124" s="52">
        <f>[2]!s_stmnote_bank_615($C$6,AG6,1,2,1000000)</f>
        <v>221489</v>
      </c>
      <c r="AH124" s="52">
        <f>[2]!s_stmnote_bank_615($C$6,AH6,1,2,1000000)</f>
        <v>0</v>
      </c>
      <c r="AI124" s="52">
        <f>[2]!s_stmnote_bank_615($C$6,AI6,1,2,1000000)</f>
        <v>277757</v>
      </c>
      <c r="AJ124" s="52">
        <f>[2]!s_stmnote_bank_615($C$6,AJ6,1,2,1000000)</f>
        <v>0</v>
      </c>
      <c r="AK124" s="52">
        <f>[2]!s_stmnote_bank_615($C$6,AK6,1,2,1000000)</f>
        <v>330861</v>
      </c>
      <c r="AL124" s="52">
        <f>[2]!s_stmnote_bank_615($C$6,AL6,1,2,1000000)</f>
        <v>0</v>
      </c>
      <c r="AM124" s="52">
        <f>[2]!s_stmnote_bank_615($C$6,AM6,1,2,1000000)</f>
        <v>267151</v>
      </c>
      <c r="AN124" s="52">
        <f>[2]!s_stmnote_bank_615($C$6,AN6,1,2,1000000)</f>
        <v>0</v>
      </c>
      <c r="AO124" s="52">
        <f>[2]!s_stmnote_bank_615($C$6,AO6,1,2,1000000)</f>
        <v>243811</v>
      </c>
      <c r="AP124" s="52">
        <f>[2]!s_stmnote_bank_615($C$6,AP6,1,2,1000000)</f>
        <v>0</v>
      </c>
      <c r="AQ124" s="52">
        <f>[2]!s_stmnote_bank_615($C$6,AQ6,1,2,1000000)</f>
        <v>222715</v>
      </c>
      <c r="AR124" s="52">
        <f>[2]!s_stmnote_bank_615($C$6,AR6,1,2,1000000)</f>
        <v>0</v>
      </c>
      <c r="AS124" s="52">
        <f>[2]!s_stmnote_bank_615($C$6,AS6,1,2,1000000)</f>
        <v>236501</v>
      </c>
      <c r="AT124" s="52">
        <f>[2]!s_stmnote_bank_615($C$6,AT6,1,2,1000000)</f>
        <v>0</v>
      </c>
    </row>
    <row r="125" spans="2:46" ht="13.5" x14ac:dyDescent="0.4">
      <c r="B125" s="108"/>
      <c r="C125" s="110" t="s">
        <v>143</v>
      </c>
      <c r="E125" s="111">
        <f>E119+E122</f>
        <v>0</v>
      </c>
      <c r="F125" s="111">
        <f t="shared" ref="F125:AT126" si="27">F119+F122</f>
        <v>0</v>
      </c>
      <c r="G125" s="111">
        <f t="shared" si="27"/>
        <v>0</v>
      </c>
      <c r="H125" s="111">
        <f t="shared" si="27"/>
        <v>0</v>
      </c>
      <c r="I125" s="111">
        <f t="shared" si="27"/>
        <v>3402683</v>
      </c>
      <c r="J125" s="111">
        <f t="shared" si="27"/>
        <v>0</v>
      </c>
      <c r="K125" s="111">
        <f t="shared" si="27"/>
        <v>3689881</v>
      </c>
      <c r="L125" s="111">
        <f t="shared" si="27"/>
        <v>0</v>
      </c>
      <c r="M125" s="111">
        <f t="shared" si="27"/>
        <v>3938967</v>
      </c>
      <c r="N125" s="111">
        <f t="shared" si="27"/>
        <v>0</v>
      </c>
      <c r="O125" s="111">
        <f t="shared" si="27"/>
        <v>4721204</v>
      </c>
      <c r="P125" s="111">
        <f t="shared" si="27"/>
        <v>0</v>
      </c>
      <c r="Q125" s="111">
        <f t="shared" si="27"/>
        <v>4788490</v>
      </c>
      <c r="R125" s="111">
        <f t="shared" si="27"/>
        <v>0</v>
      </c>
      <c r="S125" s="111">
        <f t="shared" si="27"/>
        <v>5362883</v>
      </c>
      <c r="T125" s="111">
        <f t="shared" si="27"/>
        <v>0</v>
      </c>
      <c r="U125" s="111">
        <f t="shared" si="27"/>
        <v>5471309</v>
      </c>
      <c r="V125" s="111">
        <f t="shared" si="27"/>
        <v>0</v>
      </c>
      <c r="W125" s="111">
        <f t="shared" si="27"/>
        <v>5900607</v>
      </c>
      <c r="X125" s="111">
        <f t="shared" si="27"/>
        <v>0</v>
      </c>
      <c r="Y125" s="111">
        <f t="shared" si="27"/>
        <v>5928749</v>
      </c>
      <c r="Z125" s="111">
        <f t="shared" si="27"/>
        <v>0</v>
      </c>
      <c r="AA125" s="111">
        <f t="shared" si="27"/>
        <v>6371601</v>
      </c>
      <c r="AB125" s="111">
        <f t="shared" si="27"/>
        <v>0</v>
      </c>
      <c r="AC125" s="111">
        <f t="shared" si="27"/>
        <v>6908245</v>
      </c>
      <c r="AD125" s="111">
        <f t="shared" si="27"/>
        <v>0</v>
      </c>
      <c r="AE125" s="111">
        <f t="shared" si="27"/>
        <v>7277389</v>
      </c>
      <c r="AF125" s="111">
        <f t="shared" si="27"/>
        <v>0</v>
      </c>
      <c r="AG125" s="111">
        <f t="shared" si="27"/>
        <v>7503497</v>
      </c>
      <c r="AH125" s="111">
        <f t="shared" si="27"/>
        <v>0</v>
      </c>
      <c r="AI125" s="111">
        <f t="shared" si="27"/>
        <v>8120197</v>
      </c>
      <c r="AJ125" s="111">
        <f t="shared" si="27"/>
        <v>0</v>
      </c>
      <c r="AK125" s="111">
        <f t="shared" si="27"/>
        <v>8037133</v>
      </c>
      <c r="AL125" s="111">
        <f t="shared" si="27"/>
        <v>0</v>
      </c>
      <c r="AM125" s="111">
        <f t="shared" si="27"/>
        <v>8512043</v>
      </c>
      <c r="AN125" s="111">
        <f t="shared" si="27"/>
        <v>0</v>
      </c>
      <c r="AO125" s="111">
        <f t="shared" si="27"/>
        <v>8437014</v>
      </c>
      <c r="AP125" s="111">
        <f t="shared" si="27"/>
        <v>0</v>
      </c>
      <c r="AQ125" s="111">
        <f t="shared" si="27"/>
        <v>9256016</v>
      </c>
      <c r="AR125" s="111">
        <f t="shared" si="27"/>
        <v>0</v>
      </c>
      <c r="AS125" s="111">
        <f t="shared" si="27"/>
        <v>9448520</v>
      </c>
      <c r="AT125" s="111">
        <f t="shared" si="27"/>
        <v>0</v>
      </c>
    </row>
    <row r="126" spans="2:46" ht="13.5" x14ac:dyDescent="0.4">
      <c r="B126" s="108"/>
      <c r="C126" s="97" t="s">
        <v>144</v>
      </c>
      <c r="E126" s="111">
        <f>E120+E123</f>
        <v>0</v>
      </c>
      <c r="F126" s="111">
        <f t="shared" si="27"/>
        <v>0</v>
      </c>
      <c r="G126" s="111">
        <f t="shared" si="27"/>
        <v>0</v>
      </c>
      <c r="H126" s="111">
        <f t="shared" si="27"/>
        <v>0</v>
      </c>
      <c r="I126" s="111">
        <f t="shared" si="27"/>
        <v>3244074</v>
      </c>
      <c r="J126" s="111">
        <f t="shared" si="27"/>
        <v>0</v>
      </c>
      <c r="K126" s="111">
        <f t="shared" si="27"/>
        <v>3592069</v>
      </c>
      <c r="L126" s="111">
        <f t="shared" si="27"/>
        <v>0</v>
      </c>
      <c r="M126" s="111">
        <f t="shared" si="27"/>
        <v>4010248</v>
      </c>
      <c r="N126" s="111">
        <f t="shared" si="27"/>
        <v>0</v>
      </c>
      <c r="O126" s="111">
        <f t="shared" si="27"/>
        <v>4556378</v>
      </c>
      <c r="P126" s="111">
        <f t="shared" si="27"/>
        <v>0</v>
      </c>
      <c r="Q126" s="111">
        <f t="shared" si="27"/>
        <v>4660432</v>
      </c>
      <c r="R126" s="111">
        <f t="shared" si="27"/>
        <v>0</v>
      </c>
      <c r="S126" s="111">
        <f t="shared" si="27"/>
        <v>5092990</v>
      </c>
      <c r="T126" s="111">
        <f t="shared" si="27"/>
        <v>0</v>
      </c>
      <c r="U126" s="111">
        <f t="shared" si="27"/>
        <v>5243657</v>
      </c>
      <c r="V126" s="111">
        <f t="shared" si="27"/>
        <v>0</v>
      </c>
      <c r="W126" s="111">
        <f t="shared" si="27"/>
        <v>5679055</v>
      </c>
      <c r="X126" s="111">
        <f t="shared" si="27"/>
        <v>0</v>
      </c>
      <c r="Y126" s="111">
        <f t="shared" si="27"/>
        <v>5843859</v>
      </c>
      <c r="Z126" s="111">
        <f t="shared" si="27"/>
        <v>0</v>
      </c>
      <c r="AA126" s="111">
        <f t="shared" si="27"/>
        <v>6306465</v>
      </c>
      <c r="AB126" s="111">
        <f t="shared" si="27"/>
        <v>0</v>
      </c>
      <c r="AC126" s="111">
        <f t="shared" si="27"/>
        <v>6554287</v>
      </c>
      <c r="AD126" s="111">
        <f t="shared" si="27"/>
        <v>0</v>
      </c>
      <c r="AE126" s="111">
        <f t="shared" si="27"/>
        <v>6986357</v>
      </c>
      <c r="AF126" s="111">
        <f t="shared" si="27"/>
        <v>0</v>
      </c>
      <c r="AG126" s="111">
        <f t="shared" si="27"/>
        <v>6895839</v>
      </c>
      <c r="AH126" s="111">
        <f t="shared" si="27"/>
        <v>0</v>
      </c>
      <c r="AI126" s="111">
        <f t="shared" si="27"/>
        <v>7330378</v>
      </c>
      <c r="AJ126" s="111">
        <f t="shared" si="27"/>
        <v>0</v>
      </c>
      <c r="AK126" s="111">
        <f t="shared" si="27"/>
        <v>7188607</v>
      </c>
      <c r="AL126" s="111">
        <f t="shared" si="27"/>
        <v>0</v>
      </c>
      <c r="AM126" s="111">
        <f t="shared" si="27"/>
        <v>7508574</v>
      </c>
      <c r="AN126" s="111">
        <f t="shared" si="27"/>
        <v>0</v>
      </c>
      <c r="AO126" s="111">
        <f t="shared" si="27"/>
        <v>7601114</v>
      </c>
      <c r="AP126" s="111">
        <f t="shared" si="27"/>
        <v>0</v>
      </c>
      <c r="AQ126" s="111">
        <f t="shared" si="27"/>
        <v>7890793</v>
      </c>
      <c r="AR126" s="111">
        <f t="shared" si="27"/>
        <v>0</v>
      </c>
      <c r="AS126" s="111">
        <f t="shared" si="27"/>
        <v>8140281</v>
      </c>
      <c r="AT126" s="111">
        <f t="shared" si="27"/>
        <v>0</v>
      </c>
    </row>
    <row r="127" spans="2:46" ht="13.9" thickBot="1" x14ac:dyDescent="0.45">
      <c r="B127" s="108"/>
      <c r="C127" s="112" t="s">
        <v>145</v>
      </c>
      <c r="E127" s="56">
        <f t="shared" ref="E127:AT127" si="28">E40</f>
        <v>6351423</v>
      </c>
      <c r="F127" s="56">
        <f t="shared" si="28"/>
        <v>6560019</v>
      </c>
      <c r="G127" s="56">
        <f t="shared" si="28"/>
        <v>6692270</v>
      </c>
      <c r="H127" s="56">
        <f t="shared" si="28"/>
        <v>6823165</v>
      </c>
      <c r="I127" s="56">
        <f t="shared" si="28"/>
        <v>6898413</v>
      </c>
      <c r="J127" s="56">
        <f t="shared" si="28"/>
        <v>7228839</v>
      </c>
      <c r="K127" s="56">
        <f t="shared" si="28"/>
        <v>7538748</v>
      </c>
      <c r="L127" s="56">
        <f t="shared" si="28"/>
        <v>7898299</v>
      </c>
      <c r="M127" s="56">
        <f t="shared" si="28"/>
        <v>8223446</v>
      </c>
      <c r="N127" s="56">
        <f t="shared" si="28"/>
        <v>9113767</v>
      </c>
      <c r="O127" s="56">
        <f t="shared" si="28"/>
        <v>9533117</v>
      </c>
      <c r="P127" s="56">
        <f t="shared" si="28"/>
        <v>9750836</v>
      </c>
      <c r="Q127" s="56">
        <f t="shared" si="28"/>
        <v>9771277</v>
      </c>
      <c r="R127" s="56">
        <f t="shared" si="28"/>
        <v>10332616</v>
      </c>
      <c r="S127" s="56">
        <f t="shared" si="28"/>
        <v>10832789</v>
      </c>
      <c r="T127" s="56">
        <f t="shared" si="28"/>
        <v>11282590</v>
      </c>
      <c r="U127" s="56">
        <f t="shared" si="28"/>
        <v>11145557</v>
      </c>
      <c r="V127" s="56">
        <f t="shared" si="28"/>
        <v>11764424</v>
      </c>
      <c r="W127" s="56">
        <f t="shared" si="28"/>
        <v>12047138</v>
      </c>
      <c r="X127" s="56">
        <f t="shared" si="28"/>
        <v>12144232</v>
      </c>
      <c r="Y127" s="56">
        <f t="shared" si="28"/>
        <v>12261219</v>
      </c>
      <c r="Z127" s="56">
        <f t="shared" si="28"/>
        <v>12615281</v>
      </c>
      <c r="AA127" s="56">
        <f t="shared" si="28"/>
        <v>13180597</v>
      </c>
      <c r="AB127" s="56">
        <f t="shared" si="28"/>
        <v>13633502</v>
      </c>
      <c r="AC127" s="56">
        <f t="shared" si="28"/>
        <v>13642910</v>
      </c>
      <c r="AD127" s="56">
        <f t="shared" si="28"/>
        <v>14384273</v>
      </c>
      <c r="AE127" s="56">
        <f t="shared" si="28"/>
        <v>14508402</v>
      </c>
      <c r="AF127" s="56">
        <f t="shared" si="28"/>
        <v>14692718</v>
      </c>
      <c r="AG127" s="56">
        <f t="shared" si="28"/>
        <v>14620825</v>
      </c>
      <c r="AH127" s="56">
        <f t="shared" si="28"/>
        <v>15160980</v>
      </c>
      <c r="AI127" s="56">
        <f t="shared" si="28"/>
        <v>15728332</v>
      </c>
      <c r="AJ127" s="56">
        <f t="shared" si="28"/>
        <v>15339964</v>
      </c>
      <c r="AK127" s="56">
        <f t="shared" si="28"/>
        <v>15556601</v>
      </c>
      <c r="AL127" s="56">
        <f t="shared" si="28"/>
        <v>15848171</v>
      </c>
      <c r="AM127" s="56">
        <f t="shared" si="28"/>
        <v>16287768</v>
      </c>
      <c r="AN127" s="56">
        <f t="shared" si="28"/>
        <v>16521828</v>
      </c>
      <c r="AO127" s="56">
        <f t="shared" si="28"/>
        <v>16281939</v>
      </c>
      <c r="AP127" s="56">
        <f t="shared" si="28"/>
        <v>17038081</v>
      </c>
      <c r="AQ127" s="56">
        <f t="shared" si="28"/>
        <v>17369524</v>
      </c>
      <c r="AR127" s="56">
        <f t="shared" si="28"/>
        <v>17754418</v>
      </c>
      <c r="AS127" s="56">
        <f t="shared" si="28"/>
        <v>17825302</v>
      </c>
      <c r="AT127" s="56">
        <f t="shared" si="28"/>
        <v>18565009</v>
      </c>
    </row>
    <row r="128" spans="2:46" s="58" customFormat="1" ht="13.5" x14ac:dyDescent="0.4">
      <c r="B128" s="113"/>
      <c r="C128" s="57" t="s">
        <v>91</v>
      </c>
      <c r="E128" s="59">
        <f>IF(E119=0,0,E127-E118-E121-E124)</f>
        <v>0</v>
      </c>
      <c r="F128" s="59">
        <f t="shared" ref="F128:AT128" si="29">IF(F119=0,0,F127-F118-F121-F124)</f>
        <v>0</v>
      </c>
      <c r="G128" s="59">
        <f t="shared" si="29"/>
        <v>0</v>
      </c>
      <c r="H128" s="59">
        <f t="shared" si="29"/>
        <v>0</v>
      </c>
      <c r="I128" s="59">
        <f t="shared" si="29"/>
        <v>0</v>
      </c>
      <c r="J128" s="59">
        <f t="shared" si="29"/>
        <v>0</v>
      </c>
      <c r="K128" s="59">
        <f t="shared" si="29"/>
        <v>0</v>
      </c>
      <c r="L128" s="59">
        <f t="shared" si="29"/>
        <v>0</v>
      </c>
      <c r="M128" s="59">
        <f t="shared" si="29"/>
        <v>0</v>
      </c>
      <c r="N128" s="59">
        <f t="shared" si="29"/>
        <v>0</v>
      </c>
      <c r="O128" s="59">
        <f t="shared" si="29"/>
        <v>0</v>
      </c>
      <c r="P128" s="59">
        <f t="shared" si="29"/>
        <v>0</v>
      </c>
      <c r="Q128" s="59">
        <f t="shared" si="29"/>
        <v>0</v>
      </c>
      <c r="R128" s="59">
        <f t="shared" si="29"/>
        <v>0</v>
      </c>
      <c r="S128" s="59">
        <f t="shared" si="29"/>
        <v>0</v>
      </c>
      <c r="T128" s="59">
        <f t="shared" si="29"/>
        <v>0</v>
      </c>
      <c r="U128" s="59">
        <f t="shared" si="29"/>
        <v>0</v>
      </c>
      <c r="V128" s="59">
        <f t="shared" si="29"/>
        <v>0</v>
      </c>
      <c r="W128" s="59">
        <f t="shared" si="29"/>
        <v>0</v>
      </c>
      <c r="X128" s="59">
        <f t="shared" si="29"/>
        <v>0</v>
      </c>
      <c r="Y128" s="59">
        <f t="shared" si="29"/>
        <v>0</v>
      </c>
      <c r="Z128" s="59">
        <f t="shared" si="29"/>
        <v>0</v>
      </c>
      <c r="AA128" s="59">
        <f t="shared" si="29"/>
        <v>0</v>
      </c>
      <c r="AB128" s="59">
        <f t="shared" si="29"/>
        <v>0</v>
      </c>
      <c r="AC128" s="59">
        <f t="shared" si="29"/>
        <v>0</v>
      </c>
      <c r="AD128" s="59">
        <f t="shared" si="29"/>
        <v>0</v>
      </c>
      <c r="AE128" s="59">
        <f t="shared" si="29"/>
        <v>0</v>
      </c>
      <c r="AF128" s="59">
        <f t="shared" si="29"/>
        <v>0</v>
      </c>
      <c r="AG128" s="59">
        <f t="shared" si="29"/>
        <v>0</v>
      </c>
      <c r="AH128" s="59">
        <f t="shared" si="29"/>
        <v>0</v>
      </c>
      <c r="AI128" s="59">
        <f t="shared" si="29"/>
        <v>0</v>
      </c>
      <c r="AJ128" s="59">
        <f t="shared" si="29"/>
        <v>0</v>
      </c>
      <c r="AK128" s="59">
        <f t="shared" si="29"/>
        <v>0</v>
      </c>
      <c r="AL128" s="59">
        <f t="shared" si="29"/>
        <v>0</v>
      </c>
      <c r="AM128" s="59">
        <f t="shared" si="29"/>
        <v>0</v>
      </c>
      <c r="AN128" s="59">
        <f t="shared" si="29"/>
        <v>0</v>
      </c>
      <c r="AO128" s="59">
        <f t="shared" si="29"/>
        <v>0</v>
      </c>
      <c r="AP128" s="59">
        <f t="shared" si="29"/>
        <v>0</v>
      </c>
      <c r="AQ128" s="59">
        <f t="shared" si="29"/>
        <v>0</v>
      </c>
      <c r="AR128" s="59">
        <f t="shared" si="29"/>
        <v>0</v>
      </c>
      <c r="AS128" s="59">
        <f t="shared" si="29"/>
        <v>0</v>
      </c>
      <c r="AT128" s="59">
        <f t="shared" si="29"/>
        <v>0</v>
      </c>
    </row>
    <row r="129" spans="2:46" ht="13.5" x14ac:dyDescent="0.4">
      <c r="B129" s="108"/>
      <c r="C129" s="114"/>
      <c r="AM129" s="24"/>
      <c r="AN129" s="115"/>
      <c r="AR129" s="115"/>
    </row>
    <row r="130" spans="2:46" x14ac:dyDescent="0.35">
      <c r="AM130" s="24"/>
      <c r="AN130" s="115"/>
      <c r="AR130" s="115"/>
    </row>
    <row r="131" spans="2:46" ht="13.15" x14ac:dyDescent="0.35">
      <c r="B131" s="94" t="s">
        <v>146</v>
      </c>
      <c r="AM131" s="24"/>
    </row>
    <row r="132" spans="2:46" ht="13.9" thickBot="1" x14ac:dyDescent="0.45">
      <c r="B132" s="116"/>
      <c r="C132" s="14"/>
      <c r="AC132" s="111">
        <f>SUM(AC134,AC139,AC144,AC145)</f>
        <v>15731814</v>
      </c>
      <c r="AG132" s="111">
        <f>SUM(AG134,AG139,AG144,AG145)</f>
        <v>17219456</v>
      </c>
      <c r="AI132" s="111">
        <f>SUM(AI134,AI139,AI144,AI145)</f>
        <v>18287223</v>
      </c>
      <c r="AJ132" s="111">
        <f t="shared" ref="AJ132:AR132" si="30">SUM(AJ134,AJ139,AJ144,AJ145)</f>
        <v>0</v>
      </c>
      <c r="AK132" s="111">
        <f t="shared" si="30"/>
        <v>18561652</v>
      </c>
      <c r="AL132" s="111">
        <f t="shared" si="30"/>
        <v>0</v>
      </c>
      <c r="AM132" s="111">
        <f t="shared" si="30"/>
        <v>20122488</v>
      </c>
      <c r="AN132" s="111">
        <f t="shared" si="30"/>
        <v>0</v>
      </c>
      <c r="AO132" s="111">
        <f t="shared" si="30"/>
        <v>20550489</v>
      </c>
      <c r="AP132" s="111">
        <f t="shared" si="30"/>
        <v>0</v>
      </c>
      <c r="AQ132" s="111">
        <f t="shared" si="30"/>
        <v>21282749</v>
      </c>
      <c r="AR132" s="111">
        <f t="shared" si="30"/>
        <v>0</v>
      </c>
      <c r="AS132" s="111">
        <f>SUM(AS134,AS139,AS144,AS145)</f>
        <v>21841527</v>
      </c>
    </row>
    <row r="133" spans="2:46" ht="13.15" x14ac:dyDescent="0.35">
      <c r="B133" s="117"/>
      <c r="C133" s="118" t="s">
        <v>147</v>
      </c>
      <c r="E133" s="119">
        <f>[2]!s_stmnote_bank_57($C$6,E6,1,1000000)</f>
        <v>6838088</v>
      </c>
      <c r="F133" s="119">
        <f>[2]!s_stmnote_bank_57($C$6,F6,1,1000000)</f>
        <v>0</v>
      </c>
      <c r="G133" s="119">
        <f>[2]!s_stmnote_bank_57($C$6,G6,1,1000000)</f>
        <v>7707303</v>
      </c>
      <c r="H133" s="119">
        <f>[2]!s_stmnote_bank_57($C$6,H6,1,1000000)</f>
        <v>0</v>
      </c>
      <c r="I133" s="119">
        <f>[2]!s_stmnote_bank_57($C$6,I6,1,1000000)</f>
        <v>8029422</v>
      </c>
      <c r="J133" s="119">
        <f>[2]!s_stmnote_bank_57($C$6,J6,1,1000000)</f>
        <v>0</v>
      </c>
      <c r="K133" s="119">
        <f>[2]!s_stmnote_bank_57($C$6,K6,1,1000000)</f>
        <v>8763314</v>
      </c>
      <c r="L133" s="119">
        <f>[2]!s_stmnote_bank_57($C$6,L6,1,1000000)</f>
        <v>0</v>
      </c>
      <c r="M133" s="119">
        <f>[2]!s_stmnote_bank_57($C$6,M6,1,1000000)</f>
        <v>8920729</v>
      </c>
      <c r="N133" s="119">
        <f>[2]!s_stmnote_bank_57($C$6,N6,1,1000000)</f>
        <v>0</v>
      </c>
      <c r="O133" s="119">
        <f>[2]!s_stmnote_bank_57($C$6,O6,1,1000000)</f>
        <v>10333012</v>
      </c>
      <c r="P133" s="119">
        <f>[2]!s_stmnote_bank_57($C$6,P6,1,1000000)</f>
        <v>0</v>
      </c>
      <c r="Q133" s="119">
        <f>[2]!s_stmnote_bank_57($C$6,Q6,1,1000000)</f>
        <v>10858844</v>
      </c>
      <c r="R133" s="119">
        <f>[2]!s_stmnote_bank_57($C$6,R6,1,1000000)</f>
        <v>0</v>
      </c>
      <c r="S133" s="119">
        <f>[2]!s_stmnote_bank_57($C$6,S6,1,1000000)</f>
        <v>12084333</v>
      </c>
      <c r="T133" s="119">
        <f>[2]!s_stmnote_bank_57($C$6,T6,1,1000000)</f>
        <v>0</v>
      </c>
      <c r="U133" s="119">
        <f>[2]!s_stmnote_bank_57($C$6,U6,1,1000000)</f>
        <v>12431871</v>
      </c>
      <c r="V133" s="119">
        <f>[2]!s_stmnote_bank_57($C$6,V6,1,1000000)</f>
        <v>0</v>
      </c>
      <c r="W133" s="119">
        <f>[2]!s_stmnote_bank_57($C$6,W6,1,1000000)</f>
        <v>13449234</v>
      </c>
      <c r="X133" s="119">
        <f>[2]!s_stmnote_bank_57($C$6,X6,1,1000000)</f>
        <v>0</v>
      </c>
      <c r="Y133" s="119">
        <f>[2]!s_stmnote_bank_57($C$6,Y6,1,1000000)</f>
        <v>13881755</v>
      </c>
      <c r="Z133" s="119">
        <f>[2]!s_stmnote_bank_57($C$6,Z6,1,1000000)</f>
        <v>0</v>
      </c>
      <c r="AA133" s="119">
        <f>[2]!s_stmnote_bank_57($C$6,AA6,1,1000000)</f>
        <v>15336626</v>
      </c>
      <c r="AB133" s="119">
        <f>[2]!s_stmnote_bank_57($C$6,AB6,1,1000000)</f>
        <v>0</v>
      </c>
      <c r="AC133" s="119">
        <f>[2]!s_stmnote_bank_57($C$6,AC6,1,1000000)</f>
        <v>15731814</v>
      </c>
      <c r="AD133" s="119">
        <f>[2]!s_stmnote_bank_57($C$6,AD6,1,1000000)</f>
        <v>0</v>
      </c>
      <c r="AE133" s="119">
        <f>[2]!s_stmnote_bank_57($C$6,AE6,1,1000000)</f>
        <v>16917260</v>
      </c>
      <c r="AF133" s="119">
        <f>[2]!s_stmnote_bank_57($C$6,AF6,1,1000000)</f>
        <v>0</v>
      </c>
      <c r="AG133" s="119">
        <f>[2]!s_stmnote_bank_57($C$6,AG6,1,1000000)</f>
        <v>17219456</v>
      </c>
      <c r="AH133" s="119">
        <f>[2]!s_stmnote_bank_57($C$6,AH6,1,1000000)</f>
        <v>0</v>
      </c>
      <c r="AI133" s="119">
        <f>[2]!s_stmnote_bank_57($C$6,AI6,1,1000000)</f>
        <v>18287223</v>
      </c>
      <c r="AJ133" s="119">
        <f>[2]!s_stmnote_bank_57($C$6,AJ6,1,1000000)</f>
        <v>0</v>
      </c>
      <c r="AK133" s="119">
        <f>[2]!s_stmnote_bank_57($C$6,AK6,1,1000000)</f>
        <v>18561652</v>
      </c>
      <c r="AL133" s="119">
        <f>[2]!s_stmnote_bank_57($C$6,AL6,1,1000000)</f>
        <v>0</v>
      </c>
      <c r="AM133" s="119">
        <f>[2]!s_stmnote_bank_57($C$6,AM6,1,1000000)</f>
        <v>20122488</v>
      </c>
      <c r="AN133" s="119">
        <f>[2]!s_stmnote_bank_57($C$6,AN6,1,1000000)</f>
        <v>0</v>
      </c>
      <c r="AO133" s="119">
        <f>[2]!s_stmnote_bank_57($C$6,AO6,1,1000000)</f>
        <v>20550489</v>
      </c>
      <c r="AP133" s="119">
        <f>[2]!s_stmnote_bank_57($C$6,AP6,1,1000000)</f>
        <v>0</v>
      </c>
      <c r="AQ133" s="119">
        <f>[2]!s_stmnote_bank_57($C$6,AQ6,1,1000000)</f>
        <v>21282749</v>
      </c>
      <c r="AR133" s="119">
        <f>[2]!s_stmnote_bank_57($C$6,AR6,1,1000000)</f>
        <v>0</v>
      </c>
      <c r="AS133" s="119">
        <f>[2]!s_stmnote_bank_57($C$6,AS6,1,1000000)</f>
        <v>21841527</v>
      </c>
      <c r="AT133" s="119">
        <f>[2]!s_stmnote_bank_57($C$6,AT6,1,1000000)</f>
        <v>0</v>
      </c>
    </row>
    <row r="134" spans="2:46" ht="13.15" x14ac:dyDescent="0.35">
      <c r="B134" s="117"/>
      <c r="C134" s="120" t="s">
        <v>148</v>
      </c>
      <c r="E134" s="121">
        <f t="shared" ref="E134:AP134" si="31">E135+E138</f>
        <v>0</v>
      </c>
      <c r="F134" s="121">
        <f t="shared" si="31"/>
        <v>0</v>
      </c>
      <c r="G134" s="121">
        <f t="shared" si="31"/>
        <v>0</v>
      </c>
      <c r="H134" s="121">
        <f t="shared" si="31"/>
        <v>0</v>
      </c>
      <c r="I134" s="121">
        <f t="shared" si="31"/>
        <v>3761475</v>
      </c>
      <c r="J134" s="121">
        <f t="shared" si="31"/>
        <v>0</v>
      </c>
      <c r="K134" s="121">
        <f t="shared" si="31"/>
        <v>4088094</v>
      </c>
      <c r="L134" s="121">
        <f t="shared" si="31"/>
        <v>0</v>
      </c>
      <c r="M134" s="121">
        <f t="shared" si="31"/>
        <v>4162822</v>
      </c>
      <c r="N134" s="121">
        <f t="shared" si="31"/>
        <v>0</v>
      </c>
      <c r="O134" s="121">
        <f t="shared" si="31"/>
        <v>499948</v>
      </c>
      <c r="P134" s="121">
        <f t="shared" si="31"/>
        <v>0</v>
      </c>
      <c r="Q134" s="121">
        <f t="shared" si="31"/>
        <v>5139158</v>
      </c>
      <c r="R134" s="121">
        <f t="shared" si="31"/>
        <v>0</v>
      </c>
      <c r="S134" s="121">
        <f t="shared" si="31"/>
        <v>5847692</v>
      </c>
      <c r="T134" s="121">
        <f t="shared" si="31"/>
        <v>0</v>
      </c>
      <c r="U134" s="121">
        <f t="shared" si="31"/>
        <v>6031236</v>
      </c>
      <c r="V134" s="121">
        <f t="shared" si="31"/>
        <v>0</v>
      </c>
      <c r="W134" s="121">
        <f t="shared" si="31"/>
        <v>6681884</v>
      </c>
      <c r="X134" s="121">
        <f t="shared" si="31"/>
        <v>0</v>
      </c>
      <c r="Y134" s="121">
        <f t="shared" si="31"/>
        <v>6898354</v>
      </c>
      <c r="Z134" s="121">
        <f t="shared" si="31"/>
        <v>0</v>
      </c>
      <c r="AA134" s="121">
        <f t="shared" si="31"/>
        <v>7578792</v>
      </c>
      <c r="AB134" s="121">
        <f t="shared" si="31"/>
        <v>0</v>
      </c>
      <c r="AC134" s="121">
        <f>AC135+AC138+476654</f>
        <v>8386531</v>
      </c>
      <c r="AD134" s="121">
        <f t="shared" si="31"/>
        <v>0</v>
      </c>
      <c r="AE134" s="121">
        <f t="shared" si="31"/>
        <v>8718501</v>
      </c>
      <c r="AF134" s="121">
        <f t="shared" si="31"/>
        <v>0</v>
      </c>
      <c r="AG134" s="121">
        <f>AG135+AG138+560046</f>
        <v>9457500</v>
      </c>
      <c r="AH134" s="121">
        <f t="shared" si="31"/>
        <v>0</v>
      </c>
      <c r="AI134" s="121">
        <f>AI135+AI138+731315</f>
        <v>10349467</v>
      </c>
      <c r="AJ134" s="121">
        <f t="shared" si="31"/>
        <v>0</v>
      </c>
      <c r="AK134" s="121">
        <f>AK135+AK138+754158</f>
        <v>10599094</v>
      </c>
      <c r="AL134" s="121">
        <f t="shared" si="31"/>
        <v>0</v>
      </c>
      <c r="AM134" s="121">
        <f>AM135+AM138+818173</f>
        <v>11334692</v>
      </c>
      <c r="AN134" s="121">
        <f t="shared" si="31"/>
        <v>0</v>
      </c>
      <c r="AO134" s="121">
        <f>AO135+AO138+886517</f>
        <v>11607327</v>
      </c>
      <c r="AP134" s="121">
        <f t="shared" si="31"/>
        <v>0</v>
      </c>
      <c r="AQ134" s="121">
        <f>AQ135+AQ138+941477</f>
        <v>12286073</v>
      </c>
      <c r="AR134" s="121">
        <f>AR135+AR138</f>
        <v>0</v>
      </c>
      <c r="AS134" s="121">
        <f>AS135+AS138+1117216</f>
        <v>12658686</v>
      </c>
      <c r="AT134" s="121"/>
    </row>
    <row r="135" spans="2:46" ht="13.15" x14ac:dyDescent="0.35">
      <c r="B135" s="99"/>
      <c r="C135" s="122" t="s">
        <v>130</v>
      </c>
      <c r="E135" s="81">
        <f t="shared" ref="E135:AR135" si="32">E136+E137</f>
        <v>0</v>
      </c>
      <c r="F135" s="81">
        <f t="shared" si="32"/>
        <v>0</v>
      </c>
      <c r="G135" s="81">
        <f t="shared" si="32"/>
        <v>0</v>
      </c>
      <c r="H135" s="81">
        <f t="shared" si="32"/>
        <v>0</v>
      </c>
      <c r="I135" s="81">
        <f t="shared" si="32"/>
        <v>3097341</v>
      </c>
      <c r="J135" s="81">
        <f t="shared" si="32"/>
        <v>0</v>
      </c>
      <c r="K135" s="81">
        <f t="shared" si="32"/>
        <v>3308457</v>
      </c>
      <c r="L135" s="81">
        <f t="shared" si="32"/>
        <v>0</v>
      </c>
      <c r="M135" s="81">
        <f t="shared" si="32"/>
        <v>3366059</v>
      </c>
      <c r="N135" s="81">
        <f t="shared" si="32"/>
        <v>0</v>
      </c>
      <c r="O135" s="81">
        <f t="shared" si="32"/>
        <v>499948</v>
      </c>
      <c r="P135" s="81">
        <f t="shared" si="32"/>
        <v>0</v>
      </c>
      <c r="Q135" s="81">
        <f t="shared" si="32"/>
        <v>4155955</v>
      </c>
      <c r="R135" s="81">
        <f t="shared" si="32"/>
        <v>0</v>
      </c>
      <c r="S135" s="81">
        <f t="shared" si="32"/>
        <v>4498070</v>
      </c>
      <c r="T135" s="81">
        <f t="shared" si="32"/>
        <v>0</v>
      </c>
      <c r="U135" s="81">
        <f t="shared" si="32"/>
        <v>4578527</v>
      </c>
      <c r="V135" s="81">
        <f t="shared" si="32"/>
        <v>0</v>
      </c>
      <c r="W135" s="81">
        <f t="shared" si="32"/>
        <v>4951865</v>
      </c>
      <c r="X135" s="81">
        <f t="shared" si="32"/>
        <v>0</v>
      </c>
      <c r="Y135" s="81">
        <f t="shared" si="32"/>
        <v>5074962</v>
      </c>
      <c r="Z135" s="81">
        <f t="shared" si="32"/>
        <v>0</v>
      </c>
      <c r="AA135" s="81">
        <f t="shared" si="32"/>
        <v>5538831</v>
      </c>
      <c r="AB135" s="81">
        <f t="shared" si="32"/>
        <v>0</v>
      </c>
      <c r="AC135" s="81">
        <f t="shared" si="32"/>
        <v>5810519</v>
      </c>
      <c r="AD135" s="81">
        <f t="shared" si="32"/>
        <v>0</v>
      </c>
      <c r="AE135" s="81">
        <f t="shared" si="32"/>
        <v>6320910</v>
      </c>
      <c r="AF135" s="81">
        <f t="shared" si="32"/>
        <v>0</v>
      </c>
      <c r="AG135" s="81">
        <f>AG136+AG137</f>
        <v>6387662</v>
      </c>
      <c r="AH135" s="81">
        <f t="shared" si="32"/>
        <v>0</v>
      </c>
      <c r="AI135" s="81">
        <f t="shared" si="32"/>
        <v>6826231</v>
      </c>
      <c r="AJ135" s="81">
        <f t="shared" si="32"/>
        <v>0</v>
      </c>
      <c r="AK135" s="81">
        <f t="shared" si="32"/>
        <v>6971907</v>
      </c>
      <c r="AL135" s="81">
        <f t="shared" si="32"/>
        <v>0</v>
      </c>
      <c r="AM135" s="81">
        <f t="shared" si="32"/>
        <v>7403438</v>
      </c>
      <c r="AN135" s="81">
        <f t="shared" si="32"/>
        <v>0</v>
      </c>
      <c r="AO135" s="81">
        <f t="shared" si="32"/>
        <v>7492686</v>
      </c>
      <c r="AP135" s="81">
        <f t="shared" si="32"/>
        <v>0</v>
      </c>
      <c r="AQ135" s="81">
        <f t="shared" si="32"/>
        <v>7718727</v>
      </c>
      <c r="AR135" s="81">
        <f t="shared" si="32"/>
        <v>0</v>
      </c>
      <c r="AS135" s="81">
        <f>AS136+AS137</f>
        <v>7755028</v>
      </c>
      <c r="AT135" s="123"/>
    </row>
    <row r="136" spans="2:46" ht="13.15" x14ac:dyDescent="0.35">
      <c r="B136" s="99"/>
      <c r="C136" s="124" t="s">
        <v>149</v>
      </c>
      <c r="E136" s="47">
        <f>[2]!s_stmnote_bank_711($C$6,E6,1,2,1000000)</f>
        <v>0</v>
      </c>
      <c r="F136" s="47">
        <f>[2]!s_stmnote_bank_711($C$6,F6,1,2,1000000)</f>
        <v>0</v>
      </c>
      <c r="G136" s="47">
        <f>[2]!s_stmnote_bank_711($C$6,G6,1,2,1000000)</f>
        <v>0</v>
      </c>
      <c r="H136" s="47">
        <f>[2]!s_stmnote_bank_711($C$6,H6,1,2,1000000)</f>
        <v>0</v>
      </c>
      <c r="I136" s="47">
        <f>[2]!s_stmnote_bank_711($C$6,I6,1,2,1000000)</f>
        <v>2743088</v>
      </c>
      <c r="J136" s="47">
        <f>[2]!s_stmnote_bank_711($C$6,J6,1,2,1000000)</f>
        <v>0</v>
      </c>
      <c r="K136" s="47">
        <f>[2]!s_stmnote_bank_711($C$6,K6,1,2,1000000)</f>
        <v>3094302</v>
      </c>
      <c r="L136" s="47">
        <f>[2]!s_stmnote_bank_711($C$6,L6,1,2,1000000)</f>
        <v>0</v>
      </c>
      <c r="M136" s="47">
        <f>[2]!s_stmnote_bank_711($C$6,M6,1,2,1000000)</f>
        <v>3135615</v>
      </c>
      <c r="N136" s="47">
        <f>[2]!s_stmnote_bank_711($C$6,N6,1,2,1000000)</f>
        <v>0</v>
      </c>
      <c r="O136" s="47">
        <f>[2]!s_stmnote_bank_711($C$6,O6,1,2,1000000)</f>
        <v>0</v>
      </c>
      <c r="P136" s="47">
        <f>[2]!s_stmnote_bank_711($C$6,P6,1,2,1000000)</f>
        <v>0</v>
      </c>
      <c r="Q136" s="47">
        <f>[2]!s_stmnote_bank_711($C$6,Q6,1,2,1000000)</f>
        <v>3698346</v>
      </c>
      <c r="R136" s="47">
        <f>[2]!s_stmnote_bank_711($C$6,R6,1,2,1000000)</f>
        <v>0</v>
      </c>
      <c r="S136" s="47">
        <f>[2]!s_stmnote_bank_711($C$6,S6,1,2,1000000)</f>
        <v>4250234</v>
      </c>
      <c r="T136" s="47">
        <f>[2]!s_stmnote_bank_711($C$6,T6,1,2,1000000)</f>
        <v>0</v>
      </c>
      <c r="U136" s="47">
        <f>[2]!s_stmnote_bank_711($C$6,U6,1,2,1000000)</f>
        <v>4377715</v>
      </c>
      <c r="V136" s="47">
        <f>[2]!s_stmnote_bank_711($C$6,V6,1,2,1000000)</f>
        <v>0</v>
      </c>
      <c r="W136" s="47">
        <f>[2]!s_stmnote_bank_711($C$6,W6,1,2,1000000)</f>
        <v>4844073</v>
      </c>
      <c r="X136" s="47">
        <f>[2]!s_stmnote_bank_711($C$6,X6,1,2,1000000)</f>
        <v>0</v>
      </c>
      <c r="Y136" s="47">
        <f>[2]!s_stmnote_bank_711($C$6,Y6,1,2,1000000)</f>
        <v>4964056</v>
      </c>
      <c r="Z136" s="47">
        <f>[2]!s_stmnote_bank_711($C$6,Z6,1,2,1000000)</f>
        <v>0</v>
      </c>
      <c r="AA136" s="47">
        <f>[2]!s_stmnote_bank_711($C$6,AA6,1,2,1000000)</f>
        <v>5380460</v>
      </c>
      <c r="AB136" s="47">
        <f>[2]!s_stmnote_bank_711($C$6,AB6,1,2,1000000)</f>
        <v>0</v>
      </c>
      <c r="AC136" s="47">
        <f>[2]!s_stmnote_bank_711($C$6,AC6,1,2,1000000)</f>
        <v>5618165</v>
      </c>
      <c r="AD136" s="47">
        <f>[2]!s_stmnote_bank_711($C$6,AD6,1,2,1000000)</f>
        <v>0</v>
      </c>
      <c r="AE136" s="47">
        <f>[2]!s_stmnote_bank_711($C$6,AE6,1,2,1000000)</f>
        <v>6138785</v>
      </c>
      <c r="AF136" s="47">
        <f>[2]!s_stmnote_bank_711($C$6,AF6,1,2,1000000)</f>
        <v>0</v>
      </c>
      <c r="AG136" s="47">
        <f>[2]!s_stmnote_bank_711($C$6,AG6,1,2,1000000)</f>
        <v>6216071</v>
      </c>
      <c r="AH136" s="47">
        <f>[2]!s_stmnote_bank_711($C$6,AH6,1,2,1000000)</f>
        <v>0</v>
      </c>
      <c r="AI136" s="47">
        <f>[2]!s_stmnote_bank_711($C$6,AI6,1,2,1000000)</f>
        <v>6685215</v>
      </c>
      <c r="AJ136" s="47">
        <f>[2]!s_stmnote_bank_711($C$6,AJ6,1,2,1000000)</f>
        <v>0</v>
      </c>
      <c r="AK136" s="47">
        <f>[2]!s_stmnote_bank_711($C$6,AK6,1,2,1000000)</f>
        <v>6750524</v>
      </c>
      <c r="AL136" s="47">
        <f>[2]!s_stmnote_bank_711($C$6,AL6,1,2,1000000)</f>
        <v>0</v>
      </c>
      <c r="AM136" s="47">
        <f>[2]!s_stmnote_bank_711($C$6,AM6,1,2,1000000)</f>
        <v>7029913</v>
      </c>
      <c r="AN136" s="47">
        <f>[2]!s_stmnote_bank_711($C$6,AN6,1,2,1000000)</f>
        <v>0</v>
      </c>
      <c r="AO136" s="47">
        <f>[2]!s_stmnote_bank_711($C$6,AO6,1,2,1000000)</f>
        <v>7060495</v>
      </c>
      <c r="AP136" s="47">
        <f>[2]!s_stmnote_bank_711($C$6,AP6,1,2,1000000)</f>
        <v>0</v>
      </c>
      <c r="AQ136" s="47">
        <f>[2]!s_stmnote_bank_711($C$6,AQ6,1,2,1000000)</f>
        <v>7149759</v>
      </c>
      <c r="AR136" s="47">
        <f>[2]!s_stmnote_bank_711($C$6,AR6,1,2,1000000)</f>
        <v>0</v>
      </c>
      <c r="AS136" s="47">
        <f>[2]!s_stmnote_bank_711($C$6,AS6,1,2,1000000)</f>
        <v>7077009</v>
      </c>
      <c r="AT136" s="47">
        <f>[2]!s_stmnote_bank_711($C$6,AT6,1,2,1000000)</f>
        <v>0</v>
      </c>
    </row>
    <row r="137" spans="2:46" ht="13.15" x14ac:dyDescent="0.35">
      <c r="B137" s="116"/>
      <c r="C137" s="124" t="s">
        <v>150</v>
      </c>
      <c r="E137" s="47">
        <f>[2]!s_stmnote_bank_713($C$6,E6,1,2,1000000)</f>
        <v>0</v>
      </c>
      <c r="F137" s="47">
        <f>[2]!s_stmnote_bank_713($C$6,F6,1,2,1000000)</f>
        <v>0</v>
      </c>
      <c r="G137" s="47">
        <f>[2]!s_stmnote_bank_713($C$6,G6,1,2,1000000)</f>
        <v>0</v>
      </c>
      <c r="H137" s="47">
        <f>[2]!s_stmnote_bank_713($C$6,H6,1,2,1000000)</f>
        <v>0</v>
      </c>
      <c r="I137" s="47">
        <f>[2]!s_stmnote_bank_713($C$6,I6,1,2,1000000)</f>
        <v>354253</v>
      </c>
      <c r="J137" s="47">
        <f>[2]!s_stmnote_bank_713($C$6,J6,1,2,1000000)</f>
        <v>0</v>
      </c>
      <c r="K137" s="47">
        <f>[2]!s_stmnote_bank_713($C$6,K6,1,2,1000000)</f>
        <v>214155</v>
      </c>
      <c r="L137" s="47">
        <f>[2]!s_stmnote_bank_713($C$6,L6,1,2,1000000)</f>
        <v>0</v>
      </c>
      <c r="M137" s="47">
        <f>[2]!s_stmnote_bank_713($C$6,M6,1,2,1000000)</f>
        <v>230444</v>
      </c>
      <c r="N137" s="47">
        <f>[2]!s_stmnote_bank_713($C$6,N6,1,2,1000000)</f>
        <v>0</v>
      </c>
      <c r="O137" s="47">
        <f>[2]!s_stmnote_bank_713($C$6,O6,1,2,1000000)</f>
        <v>499948</v>
      </c>
      <c r="P137" s="47">
        <f>[2]!s_stmnote_bank_713($C$6,P6,1,2,1000000)</f>
        <v>0</v>
      </c>
      <c r="Q137" s="47">
        <f>[2]!s_stmnote_bank_713($C$6,Q6,1,2,1000000)</f>
        <v>457609</v>
      </c>
      <c r="R137" s="47">
        <f>[2]!s_stmnote_bank_713($C$6,R6,1,2,1000000)</f>
        <v>0</v>
      </c>
      <c r="S137" s="47">
        <f>[2]!s_stmnote_bank_713($C$6,S6,1,2,1000000)</f>
        <v>247836</v>
      </c>
      <c r="T137" s="47">
        <f>[2]!s_stmnote_bank_713($C$6,T6,1,2,1000000)</f>
        <v>0</v>
      </c>
      <c r="U137" s="47">
        <f>[2]!s_stmnote_bank_713($C$6,U6,1,2,1000000)</f>
        <v>200812</v>
      </c>
      <c r="V137" s="47">
        <f>[2]!s_stmnote_bank_713($C$6,V6,1,2,1000000)</f>
        <v>0</v>
      </c>
      <c r="W137" s="47">
        <f>[2]!s_stmnote_bank_713($C$6,W6,1,2,1000000)</f>
        <v>107792</v>
      </c>
      <c r="X137" s="47">
        <f>[2]!s_stmnote_bank_713($C$6,X6,1,2,1000000)</f>
        <v>0</v>
      </c>
      <c r="Y137" s="47">
        <f>[2]!s_stmnote_bank_713($C$6,Y6,1,2,1000000)</f>
        <v>110906</v>
      </c>
      <c r="Z137" s="47">
        <f>[2]!s_stmnote_bank_713($C$6,Z6,1,2,1000000)</f>
        <v>0</v>
      </c>
      <c r="AA137" s="47">
        <f>[2]!s_stmnote_bank_713($C$6,AA6,1,2,1000000)</f>
        <v>158371</v>
      </c>
      <c r="AB137" s="47">
        <f>[2]!s_stmnote_bank_713($C$6,AB6,1,2,1000000)</f>
        <v>0</v>
      </c>
      <c r="AC137" s="47">
        <f>[2]!s_stmnote_bank_713($C$6,AC6,1,2,1000000)</f>
        <v>192354</v>
      </c>
      <c r="AD137" s="47">
        <f>[2]!s_stmnote_bank_713($C$6,AD6,1,2,1000000)</f>
        <v>0</v>
      </c>
      <c r="AE137" s="47">
        <f>[2]!s_stmnote_bank_713($C$6,AE6,1,2,1000000)</f>
        <v>182125</v>
      </c>
      <c r="AF137" s="47">
        <f>[2]!s_stmnote_bank_713($C$6,AF6,1,2,1000000)</f>
        <v>0</v>
      </c>
      <c r="AG137" s="47">
        <f>[2]!s_stmnote_bank_713($C$6,AG6,1,2,1000000)</f>
        <v>171591</v>
      </c>
      <c r="AH137" s="47">
        <f>[2]!s_stmnote_bank_713($C$6,AH6,1,2,1000000)</f>
        <v>0</v>
      </c>
      <c r="AI137" s="47">
        <f>[2]!s_stmnote_bank_713($C$6,AI6,1,2,1000000)</f>
        <v>141016</v>
      </c>
      <c r="AJ137" s="47">
        <f>[2]!s_stmnote_bank_713($C$6,AJ6,1,2,1000000)</f>
        <v>0</v>
      </c>
      <c r="AK137" s="47">
        <f>[2]!s_stmnote_bank_713($C$6,AK6,1,2,1000000)</f>
        <v>221383</v>
      </c>
      <c r="AL137" s="47">
        <f>[2]!s_stmnote_bank_713($C$6,AL6,1,2,1000000)</f>
        <v>0</v>
      </c>
      <c r="AM137" s="47">
        <f>[2]!s_stmnote_bank_713($C$6,AM6,1,2,1000000)</f>
        <v>373525</v>
      </c>
      <c r="AN137" s="47">
        <f>[2]!s_stmnote_bank_713($C$6,AN6,1,2,1000000)</f>
        <v>0</v>
      </c>
      <c r="AO137" s="47">
        <f>[2]!s_stmnote_bank_713($C$6,AO6,1,2,1000000)</f>
        <v>432191</v>
      </c>
      <c r="AP137" s="47">
        <f>[2]!s_stmnote_bank_713($C$6,AP6,1,2,1000000)</f>
        <v>0</v>
      </c>
      <c r="AQ137" s="47">
        <f>[2]!s_stmnote_bank_713($C$6,AQ6,1,2,1000000)</f>
        <v>568968</v>
      </c>
      <c r="AR137" s="47">
        <f>[2]!s_stmnote_bank_713($C$6,AR6,1,2,1000000)</f>
        <v>0</v>
      </c>
      <c r="AS137" s="47">
        <f>[2]!s_stmnote_bank_713($C$6,AS6,1,2,1000000)</f>
        <v>678019</v>
      </c>
      <c r="AT137" s="47">
        <f>[2]!s_stmnote_bank_713($C$6,AT6,1,2,1000000)</f>
        <v>0</v>
      </c>
    </row>
    <row r="138" spans="2:46" ht="13.15" x14ac:dyDescent="0.35">
      <c r="B138" s="116"/>
      <c r="C138" s="125" t="s">
        <v>151</v>
      </c>
      <c r="E138" s="48">
        <f>[2]!s_stmnote_bank_712($C$6,E6,1,2,1000000)</f>
        <v>0</v>
      </c>
      <c r="F138" s="48">
        <f>[2]!s_stmnote_bank_712($C$6,F6,1,2,1000000)</f>
        <v>0</v>
      </c>
      <c r="G138" s="48">
        <f>[2]!s_stmnote_bank_712($C$6,G6,1,2,1000000)</f>
        <v>0</v>
      </c>
      <c r="H138" s="48">
        <f>[2]!s_stmnote_bank_712($C$6,H6,1,2,1000000)</f>
        <v>0</v>
      </c>
      <c r="I138" s="48">
        <f>[2]!s_stmnote_bank_712($C$6,I6,1,2,1000000)</f>
        <v>664134</v>
      </c>
      <c r="J138" s="48">
        <f>[2]!s_stmnote_bank_712($C$6,J6,1,2,1000000)</f>
        <v>0</v>
      </c>
      <c r="K138" s="48">
        <f>[2]!s_stmnote_bank_712($C$6,K6,1,2,1000000)</f>
        <v>779637</v>
      </c>
      <c r="L138" s="48">
        <f>[2]!s_stmnote_bank_712($C$6,L6,1,2,1000000)</f>
        <v>0</v>
      </c>
      <c r="M138" s="48">
        <f>[2]!s_stmnote_bank_712($C$6,M6,1,2,1000000)</f>
        <v>796763</v>
      </c>
      <c r="N138" s="48">
        <f>[2]!s_stmnote_bank_712($C$6,N6,1,2,1000000)</f>
        <v>0</v>
      </c>
      <c r="O138" s="48">
        <f>[2]!s_stmnote_bank_712($C$6,O6,1,2,1000000)</f>
        <v>0</v>
      </c>
      <c r="P138" s="48">
        <f>[2]!s_stmnote_bank_712($C$6,P6,1,2,1000000)</f>
        <v>0</v>
      </c>
      <c r="Q138" s="48">
        <f>[2]!s_stmnote_bank_712($C$6,Q6,1,2,1000000)</f>
        <v>983203</v>
      </c>
      <c r="R138" s="48">
        <f>[2]!s_stmnote_bank_712($C$6,R6,1,2,1000000)</f>
        <v>0</v>
      </c>
      <c r="S138" s="48">
        <f>[2]!s_stmnote_bank_712($C$6,S6,1,2,1000000)</f>
        <v>1349622</v>
      </c>
      <c r="T138" s="48">
        <f>[2]!s_stmnote_bank_712($C$6,T6,1,2,1000000)</f>
        <v>0</v>
      </c>
      <c r="U138" s="48">
        <f>[2]!s_stmnote_bank_712($C$6,U6,1,2,1000000)</f>
        <v>1452709</v>
      </c>
      <c r="V138" s="48">
        <f>[2]!s_stmnote_bank_712($C$6,V6,1,2,1000000)</f>
        <v>0</v>
      </c>
      <c r="W138" s="48">
        <f>[2]!s_stmnote_bank_712($C$6,W6,1,2,1000000)</f>
        <v>1730019</v>
      </c>
      <c r="X138" s="48">
        <f>[2]!s_stmnote_bank_712($C$6,X6,1,2,1000000)</f>
        <v>0</v>
      </c>
      <c r="Y138" s="48">
        <f>[2]!s_stmnote_bank_712($C$6,Y6,1,2,1000000)</f>
        <v>1823392</v>
      </c>
      <c r="Z138" s="48">
        <f>[2]!s_stmnote_bank_712($C$6,Z6,1,2,1000000)</f>
        <v>0</v>
      </c>
      <c r="AA138" s="48">
        <f>[2]!s_stmnote_bank_712($C$6,AA6,1,2,1000000)</f>
        <v>2039961</v>
      </c>
      <c r="AB138" s="48">
        <f>[2]!s_stmnote_bank_712($C$6,AB6,1,2,1000000)</f>
        <v>0</v>
      </c>
      <c r="AC138" s="48">
        <f>[2]!s_stmnote_bank_712($C$6,AC6,1,2,1000000)</f>
        <v>2099358</v>
      </c>
      <c r="AD138" s="48">
        <f>[2]!s_stmnote_bank_712($C$6,AD6,1,2,1000000)</f>
        <v>0</v>
      </c>
      <c r="AE138" s="48">
        <f>[2]!s_stmnote_bank_712($C$6,AE6,1,2,1000000)</f>
        <v>2397591</v>
      </c>
      <c r="AF138" s="48">
        <f>[2]!s_stmnote_bank_712($C$6,AF6,1,2,1000000)</f>
        <v>0</v>
      </c>
      <c r="AG138" s="48">
        <f>[2]!s_stmnote_bank_712($C$6,AG6,1,2,1000000)</f>
        <v>2509792</v>
      </c>
      <c r="AH138" s="48">
        <f>[2]!s_stmnote_bank_712($C$6,AH6,1,2,1000000)</f>
        <v>0</v>
      </c>
      <c r="AI138" s="48">
        <f>[2]!s_stmnote_bank_712($C$6,AI6,1,2,1000000)</f>
        <v>2791921</v>
      </c>
      <c r="AJ138" s="48">
        <f>[2]!s_stmnote_bank_712($C$6,AJ6,1,2,1000000)</f>
        <v>0</v>
      </c>
      <c r="AK138" s="48">
        <f>[2]!s_stmnote_bank_712($C$6,AK6,1,2,1000000)</f>
        <v>2873029</v>
      </c>
      <c r="AL138" s="48">
        <f>[2]!s_stmnote_bank_712($C$6,AL6,1,2,1000000)</f>
        <v>0</v>
      </c>
      <c r="AM138" s="48">
        <f>[2]!s_stmnote_bank_712($C$6,AM6,1,2,1000000)</f>
        <v>3113081</v>
      </c>
      <c r="AN138" s="48">
        <f>[2]!s_stmnote_bank_712($C$6,AN6,1,2,1000000)</f>
        <v>0</v>
      </c>
      <c r="AO138" s="48">
        <f>[2]!s_stmnote_bank_712($C$6,AO6,1,2,1000000)</f>
        <v>3228124</v>
      </c>
      <c r="AP138" s="48">
        <f>[2]!s_stmnote_bank_712($C$6,AP6,1,2,1000000)</f>
        <v>0</v>
      </c>
      <c r="AQ138" s="48">
        <f>[2]!s_stmnote_bank_712($C$6,AQ6,1,2,1000000)</f>
        <v>3625869</v>
      </c>
      <c r="AR138" s="48">
        <f>[2]!s_stmnote_bank_712($C$6,AR6,1,2,1000000)</f>
        <v>0</v>
      </c>
      <c r="AS138" s="48">
        <f>[2]!s_stmnote_bank_712($C$6,AS6,1,2,1000000)</f>
        <v>3786442</v>
      </c>
      <c r="AT138" s="48">
        <f>[2]!s_stmnote_bank_712($C$6,AT6,1,2,1000000)</f>
        <v>0</v>
      </c>
    </row>
    <row r="139" spans="2:46" ht="13.15" x14ac:dyDescent="0.35">
      <c r="B139" s="116"/>
      <c r="C139" s="126" t="s">
        <v>152</v>
      </c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127">
        <v>3839494.9999999995</v>
      </c>
      <c r="AD139" s="127"/>
      <c r="AE139" s="127"/>
      <c r="AF139" s="127"/>
      <c r="AG139" s="127">
        <v>3969162.0000000005</v>
      </c>
      <c r="AH139" s="127"/>
      <c r="AI139" s="127">
        <v>4006223.0000000005</v>
      </c>
      <c r="AJ139" s="127"/>
      <c r="AK139" s="127">
        <v>4047961</v>
      </c>
      <c r="AL139" s="127"/>
      <c r="AM139" s="127">
        <v>4169349</v>
      </c>
      <c r="AN139" s="127"/>
      <c r="AO139" s="127">
        <v>4333202</v>
      </c>
      <c r="AP139" s="127"/>
      <c r="AQ139" s="127">
        <v>4781923</v>
      </c>
      <c r="AR139" s="127"/>
      <c r="AS139" s="127">
        <v>4855583</v>
      </c>
      <c r="AT139" s="127"/>
    </row>
    <row r="140" spans="2:46" ht="13.15" x14ac:dyDescent="0.35">
      <c r="B140" s="116"/>
      <c r="C140" s="124" t="s">
        <v>153</v>
      </c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</row>
    <row r="141" spans="2:46" ht="13.15" x14ac:dyDescent="0.35">
      <c r="B141" s="116"/>
      <c r="C141" s="124" t="s">
        <v>154</v>
      </c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</row>
    <row r="142" spans="2:46" ht="13.15" x14ac:dyDescent="0.35">
      <c r="B142" s="116"/>
      <c r="C142" s="128" t="s">
        <v>155</v>
      </c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</row>
    <row r="143" spans="2:46" ht="13.15" x14ac:dyDescent="0.35">
      <c r="B143" s="116"/>
      <c r="C143" s="125" t="s">
        <v>156</v>
      </c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9"/>
      <c r="AF143" s="129"/>
      <c r="AG143" s="129"/>
      <c r="AH143" s="129"/>
      <c r="AI143" s="129"/>
      <c r="AJ143" s="129"/>
      <c r="AK143" s="129"/>
      <c r="AL143" s="129"/>
      <c r="AM143" s="129"/>
      <c r="AN143" s="129"/>
      <c r="AO143" s="129"/>
      <c r="AP143" s="129"/>
      <c r="AQ143" s="129"/>
      <c r="AR143" s="129"/>
      <c r="AS143" s="129"/>
      <c r="AT143" s="129"/>
    </row>
    <row r="144" spans="2:46" ht="13.15" x14ac:dyDescent="0.35">
      <c r="B144" s="116"/>
      <c r="C144" s="126" t="s">
        <v>157</v>
      </c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>
        <v>2652396</v>
      </c>
      <c r="AD144" s="130"/>
      <c r="AE144" s="130"/>
      <c r="AF144" s="130"/>
      <c r="AG144" s="130">
        <v>2883971</v>
      </c>
      <c r="AH144" s="130"/>
      <c r="AI144" s="130">
        <v>3046399</v>
      </c>
      <c r="AJ144" s="130"/>
      <c r="AK144" s="130">
        <v>3087982</v>
      </c>
      <c r="AL144" s="130"/>
      <c r="AM144" s="130">
        <v>3302124</v>
      </c>
      <c r="AN144" s="130"/>
      <c r="AO144" s="130">
        <v>3161562</v>
      </c>
      <c r="AP144" s="130"/>
      <c r="AQ144" s="130">
        <v>2831848</v>
      </c>
      <c r="AR144" s="130"/>
      <c r="AS144" s="130">
        <v>2915005</v>
      </c>
      <c r="AT144" s="130"/>
    </row>
    <row r="145" spans="2:46" ht="13.15" x14ac:dyDescent="0.35">
      <c r="B145" s="116"/>
      <c r="C145" s="120" t="s">
        <v>158</v>
      </c>
      <c r="E145" s="131"/>
      <c r="F145" s="131"/>
      <c r="G145" s="131"/>
      <c r="H145" s="131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>
        <v>853392</v>
      </c>
      <c r="AD145" s="127"/>
      <c r="AE145" s="127"/>
      <c r="AF145" s="127"/>
      <c r="AG145" s="127">
        <v>908823</v>
      </c>
      <c r="AH145" s="127"/>
      <c r="AI145" s="127">
        <v>885134</v>
      </c>
      <c r="AJ145" s="127"/>
      <c r="AK145" s="127">
        <v>826615</v>
      </c>
      <c r="AL145" s="127"/>
      <c r="AM145" s="127">
        <v>1316323</v>
      </c>
      <c r="AN145" s="127"/>
      <c r="AO145" s="127">
        <v>1448398</v>
      </c>
      <c r="AP145" s="127"/>
      <c r="AQ145" s="127">
        <v>1382905</v>
      </c>
      <c r="AR145" s="127"/>
      <c r="AS145" s="127">
        <v>1412253</v>
      </c>
      <c r="AT145" s="127"/>
    </row>
    <row r="146" spans="2:46" ht="13.15" x14ac:dyDescent="0.35">
      <c r="B146" s="116"/>
      <c r="C146" s="124" t="s">
        <v>159</v>
      </c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</row>
    <row r="147" spans="2:46" ht="13.15" x14ac:dyDescent="0.35">
      <c r="B147" s="116"/>
      <c r="C147" s="124" t="s">
        <v>42</v>
      </c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</row>
    <row r="148" spans="2:46" ht="13.15" x14ac:dyDescent="0.35">
      <c r="B148" s="116"/>
      <c r="C148" s="125" t="s">
        <v>160</v>
      </c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</row>
    <row r="149" spans="2:46" ht="13.5" thickBot="1" x14ac:dyDescent="0.4">
      <c r="B149" s="116"/>
      <c r="C149" s="133" t="s">
        <v>161</v>
      </c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</row>
    <row r="150" spans="2:46" ht="13.15" x14ac:dyDescent="0.35">
      <c r="B150" s="116"/>
      <c r="C150" s="114"/>
      <c r="AS150" s="24"/>
    </row>
    <row r="151" spans="2:46" ht="13.15" thickBot="1" x14ac:dyDescent="0.4">
      <c r="B151" s="135"/>
      <c r="C151" s="136"/>
      <c r="AI151" s="24">
        <f>AI153+AI161+AI162</f>
        <v>16628931</v>
      </c>
      <c r="AK151" s="24">
        <f>AK153+AK161+AK162</f>
        <v>16844587</v>
      </c>
      <c r="AM151" s="24">
        <f>AM153+AM161+AM162</f>
        <v>18277530</v>
      </c>
      <c r="AO151" s="24">
        <f>AO153+AO161+AO162</f>
        <v>18759070</v>
      </c>
      <c r="AQ151" s="24">
        <f>AQ153+AQ161+AQ162</f>
        <v>19556519</v>
      </c>
      <c r="AS151" s="24">
        <f>AS153+AS161+AS162</f>
        <v>19996202</v>
      </c>
    </row>
    <row r="152" spans="2:46" ht="13.15" x14ac:dyDescent="0.35">
      <c r="B152" s="116"/>
      <c r="C152" s="137" t="s">
        <v>162</v>
      </c>
      <c r="E152" s="138">
        <f>[2]!s_stmnote_bank_59($C$6,E6,1,1000000)</f>
        <v>6478576</v>
      </c>
      <c r="F152" s="138">
        <f>[2]!s_stmnote_bank_59($C$6,F6,1,1000000)</f>
        <v>0</v>
      </c>
      <c r="G152" s="138">
        <f>[2]!s_stmnote_bank_59($C$6,G6,1,1000000)</f>
        <v>7195146</v>
      </c>
      <c r="H152" s="138">
        <f>[2]!s_stmnote_bank_59($C$6,H6,1,1000000)</f>
        <v>0</v>
      </c>
      <c r="I152" s="138">
        <f>[2]!s_stmnote_bank_59($C$6,I6,1,1000000)</f>
        <v>7480706</v>
      </c>
      <c r="J152" s="138">
        <f>[2]!s_stmnote_bank_59($C$6,J6,1,1000000)</f>
        <v>0</v>
      </c>
      <c r="K152" s="138">
        <f>[2]!s_stmnote_bank_59($C$6,K6,1,1000000)</f>
        <v>8182504</v>
      </c>
      <c r="L152" s="138">
        <f>[2]!s_stmnote_bank_59($C$6,L6,1,1000000)</f>
        <v>0</v>
      </c>
      <c r="M152" s="138">
        <f>[2]!s_stmnote_bank_59($C$6,M6,1,1000000)</f>
        <v>8312785</v>
      </c>
      <c r="N152" s="138">
        <f>[2]!s_stmnote_bank_59($C$6,N6,1,1000000)</f>
        <v>0</v>
      </c>
      <c r="O152" s="138">
        <f>[2]!s_stmnote_bank_59($C$6,O6,1,1000000)</f>
        <v>9644502</v>
      </c>
      <c r="P152" s="138">
        <f>[2]!s_stmnote_bank_59($C$6,P6,1,1000000)</f>
        <v>0</v>
      </c>
      <c r="Q152" s="138">
        <f>[2]!s_stmnote_bank_59($C$6,Q6,1,1000000)</f>
        <v>10159519</v>
      </c>
      <c r="R152" s="138">
        <f>[2]!s_stmnote_bank_59($C$6,R6,1,1000000)</f>
        <v>0</v>
      </c>
      <c r="S152" s="138">
        <f>[2]!s_stmnote_bank_59($C$6,S6,1,1000000)</f>
        <v>11281047</v>
      </c>
      <c r="T152" s="138">
        <f>[2]!s_stmnote_bank_59($C$6,T6,1,1000000)</f>
        <v>0</v>
      </c>
      <c r="U152" s="138">
        <f>[2]!s_stmnote_bank_59($C$6,U6,1,1000000)</f>
        <v>11601100</v>
      </c>
      <c r="V152" s="138">
        <f>[2]!s_stmnote_bank_59($C$6,V6,1,1000000)</f>
        <v>0</v>
      </c>
      <c r="W152" s="138">
        <f>[2]!s_stmnote_bank_59($C$6,W6,1,1000000)</f>
        <v>12489166</v>
      </c>
      <c r="X152" s="138">
        <f>[2]!s_stmnote_bank_59($C$6,X6,1,1000000)</f>
        <v>0</v>
      </c>
      <c r="Y152" s="138">
        <f>[2]!s_stmnote_bank_59($C$6,Y6,1,1000000)</f>
        <v>12905068</v>
      </c>
      <c r="Z152" s="138">
        <f>[2]!s_stmnote_bank_59($C$6,Z6,1,1000000)</f>
        <v>0</v>
      </c>
      <c r="AA152" s="138">
        <f>[2]!s_stmnote_bank_59($C$6,AA6,1,1000000)</f>
        <v>14070357</v>
      </c>
      <c r="AB152" s="138">
        <f>[2]!s_stmnote_bank_59($C$6,AB6,1,1000000)</f>
        <v>0</v>
      </c>
      <c r="AC152" s="138">
        <f>[2]!s_stmnote_bank_59($C$6,AC6,1,1000000)</f>
        <v>14469308</v>
      </c>
      <c r="AD152" s="138">
        <f>[2]!s_stmnote_bank_59($C$6,AD6,1,1000000)</f>
        <v>0</v>
      </c>
      <c r="AE152" s="138">
        <f>[2]!s_stmnote_bank_59($C$6,AE6,1,1000000)</f>
        <v>15580577</v>
      </c>
      <c r="AF152" s="138">
        <f>[2]!s_stmnote_bank_59($C$6,AF6,1,1000000)</f>
        <v>0</v>
      </c>
      <c r="AG152" s="138">
        <f>[2]!s_stmnote_bank_59($C$6,AG6,1,1000000)</f>
        <v>15820472</v>
      </c>
      <c r="AH152" s="138">
        <f>[2]!s_stmnote_bank_59($C$6,AH6,1,1000000)</f>
        <v>0</v>
      </c>
      <c r="AI152" s="138">
        <f>[2]!s_stmnote_bank_59($C$6,AI6,1,1000000)</f>
        <v>16628931</v>
      </c>
      <c r="AJ152" s="138">
        <f>[2]!s_stmnote_bank_59($C$6,AJ6,1,1000000)</f>
        <v>0</v>
      </c>
      <c r="AK152" s="138">
        <f>[2]!s_stmnote_bank_59($C$6,AK6,1,1000000)</f>
        <v>16844587</v>
      </c>
      <c r="AL152" s="138">
        <f>[2]!s_stmnote_bank_59($C$6,AL6,1,1000000)</f>
        <v>0</v>
      </c>
      <c r="AM152" s="138">
        <f>[2]!s_stmnote_bank_59($C$6,AM6,1,1000000)</f>
        <v>18277530</v>
      </c>
      <c r="AN152" s="138">
        <f>[2]!s_stmnote_bank_59($C$6,AN6,1,1000000)</f>
        <v>0</v>
      </c>
      <c r="AO152" s="138">
        <f>[2]!s_stmnote_bank_59($C$6,AO6,1,1000000)</f>
        <v>18759070</v>
      </c>
      <c r="AP152" s="138">
        <f>[2]!s_stmnote_bank_59($C$6,AP6,1,1000000)</f>
        <v>0</v>
      </c>
      <c r="AQ152" s="138">
        <f>[2]!s_stmnote_bank_59($C$6,AQ6,1,1000000)</f>
        <v>19556519</v>
      </c>
      <c r="AR152" s="138">
        <f>[2]!s_stmnote_bank_59($C$6,AR6,1,1000000)</f>
        <v>0</v>
      </c>
      <c r="AS152" s="138">
        <f>[2]!s_stmnote_bank_59($C$6,AS6,1,1000000)</f>
        <v>19996202</v>
      </c>
      <c r="AT152" s="138">
        <f>[2]!s_stmnote_bank_59($C$6,AT6,1,1000000)</f>
        <v>0</v>
      </c>
    </row>
    <row r="153" spans="2:46" ht="13.15" x14ac:dyDescent="0.35">
      <c r="B153" s="116"/>
      <c r="C153" s="120" t="s">
        <v>163</v>
      </c>
      <c r="E153" s="131">
        <f t="shared" ref="E153:AR153" si="33">E154+E157+E160</f>
        <v>0</v>
      </c>
      <c r="F153" s="131">
        <f t="shared" si="33"/>
        <v>0</v>
      </c>
      <c r="G153" s="131">
        <f t="shared" si="33"/>
        <v>0</v>
      </c>
      <c r="H153" s="131">
        <f t="shared" si="33"/>
        <v>0</v>
      </c>
      <c r="I153" s="131">
        <f t="shared" si="33"/>
        <v>6440360</v>
      </c>
      <c r="J153" s="131">
        <f t="shared" si="33"/>
        <v>0</v>
      </c>
      <c r="K153" s="131">
        <f t="shared" si="33"/>
        <v>6895458</v>
      </c>
      <c r="L153" s="131">
        <f t="shared" si="33"/>
        <v>0</v>
      </c>
      <c r="M153" s="131">
        <f t="shared" si="33"/>
        <v>7224883</v>
      </c>
      <c r="N153" s="131">
        <f t="shared" si="33"/>
        <v>0</v>
      </c>
      <c r="O153" s="131">
        <f t="shared" si="33"/>
        <v>8561126</v>
      </c>
      <c r="P153" s="131">
        <f t="shared" si="33"/>
        <v>0</v>
      </c>
      <c r="Q153" s="131">
        <f t="shared" si="33"/>
        <v>8937086</v>
      </c>
      <c r="R153" s="131">
        <f t="shared" si="33"/>
        <v>0</v>
      </c>
      <c r="S153" s="131">
        <f t="shared" si="33"/>
        <v>9858639</v>
      </c>
      <c r="T153" s="131">
        <f t="shared" si="33"/>
        <v>0</v>
      </c>
      <c r="U153" s="131">
        <f t="shared" si="33"/>
        <v>10168318</v>
      </c>
      <c r="V153" s="131">
        <f t="shared" si="33"/>
        <v>0</v>
      </c>
      <c r="W153" s="131">
        <f t="shared" si="33"/>
        <v>10887141</v>
      </c>
      <c r="X153" s="131">
        <f t="shared" si="33"/>
        <v>0</v>
      </c>
      <c r="Y153" s="131">
        <f t="shared" si="33"/>
        <v>11090308</v>
      </c>
      <c r="Z153" s="131">
        <f t="shared" si="33"/>
        <v>0</v>
      </c>
      <c r="AA153" s="131">
        <f t="shared" si="33"/>
        <v>11696950</v>
      </c>
      <c r="AB153" s="131">
        <f t="shared" si="33"/>
        <v>0</v>
      </c>
      <c r="AC153" s="131">
        <f t="shared" si="33"/>
        <v>12183705</v>
      </c>
      <c r="AD153" s="131">
        <f t="shared" si="33"/>
        <v>0</v>
      </c>
      <c r="AE153" s="131">
        <f t="shared" si="33"/>
        <v>13203875</v>
      </c>
      <c r="AF153" s="131">
        <f t="shared" si="33"/>
        <v>0</v>
      </c>
      <c r="AG153" s="131">
        <f t="shared" si="33"/>
        <v>13448107</v>
      </c>
      <c r="AH153" s="131">
        <f t="shared" si="33"/>
        <v>0</v>
      </c>
      <c r="AI153" s="131">
        <f t="shared" si="33"/>
        <v>14402012</v>
      </c>
      <c r="AJ153" s="131">
        <f t="shared" si="33"/>
        <v>0</v>
      </c>
      <c r="AK153" s="131">
        <f t="shared" si="33"/>
        <v>14627258</v>
      </c>
      <c r="AL153" s="131">
        <f t="shared" si="33"/>
        <v>0</v>
      </c>
      <c r="AM153" s="131">
        <f t="shared" si="33"/>
        <v>15201636</v>
      </c>
      <c r="AN153" s="131">
        <f t="shared" si="33"/>
        <v>0</v>
      </c>
      <c r="AO153" s="131">
        <f t="shared" si="33"/>
        <v>15579271</v>
      </c>
      <c r="AP153" s="131">
        <f t="shared" si="33"/>
        <v>0</v>
      </c>
      <c r="AQ153" s="131">
        <f>AQ154+AQ157+AQ160</f>
        <v>16373524</v>
      </c>
      <c r="AR153" s="131">
        <f t="shared" si="33"/>
        <v>0</v>
      </c>
      <c r="AS153" s="131">
        <f>AS154+AS157+AS160</f>
        <v>16878531</v>
      </c>
      <c r="AT153" s="131"/>
    </row>
    <row r="154" spans="2:46" ht="13.15" x14ac:dyDescent="0.35">
      <c r="B154" s="116"/>
      <c r="C154" s="124" t="s">
        <v>138</v>
      </c>
      <c r="E154" s="111">
        <f>E155+E156</f>
        <v>0</v>
      </c>
      <c r="F154" s="111">
        <f t="shared" ref="F154:AT154" si="34">F155+F156</f>
        <v>0</v>
      </c>
      <c r="G154" s="111">
        <f t="shared" si="34"/>
        <v>0</v>
      </c>
      <c r="H154" s="111">
        <f t="shared" si="34"/>
        <v>0</v>
      </c>
      <c r="I154" s="111">
        <f t="shared" si="34"/>
        <v>3329531</v>
      </c>
      <c r="J154" s="111">
        <f t="shared" si="34"/>
        <v>0</v>
      </c>
      <c r="K154" s="111">
        <f t="shared" si="34"/>
        <v>3532189</v>
      </c>
      <c r="L154" s="111">
        <f t="shared" si="34"/>
        <v>0</v>
      </c>
      <c r="M154" s="111">
        <f t="shared" si="34"/>
        <v>3720832</v>
      </c>
      <c r="N154" s="111">
        <f t="shared" si="34"/>
        <v>0</v>
      </c>
      <c r="O154" s="111">
        <f t="shared" si="34"/>
        <v>4123623</v>
      </c>
      <c r="P154" s="111">
        <f t="shared" si="34"/>
        <v>0</v>
      </c>
      <c r="Q154" s="111">
        <f t="shared" si="34"/>
        <v>4449487</v>
      </c>
      <c r="R154" s="111">
        <f t="shared" si="34"/>
        <v>0</v>
      </c>
      <c r="S154" s="111">
        <f t="shared" si="34"/>
        <v>5211360</v>
      </c>
      <c r="T154" s="111">
        <f t="shared" si="34"/>
        <v>0</v>
      </c>
      <c r="U154" s="111">
        <f t="shared" si="34"/>
        <v>5346351</v>
      </c>
      <c r="V154" s="111">
        <f t="shared" si="34"/>
        <v>0</v>
      </c>
      <c r="W154" s="111">
        <f t="shared" si="34"/>
        <v>5759046</v>
      </c>
      <c r="X154" s="111">
        <f t="shared" si="34"/>
        <v>0</v>
      </c>
      <c r="Y154" s="111">
        <f t="shared" si="34"/>
        <v>5830898</v>
      </c>
      <c r="Z154" s="111">
        <f t="shared" si="34"/>
        <v>0</v>
      </c>
      <c r="AA154" s="111">
        <f t="shared" si="34"/>
        <v>5978523</v>
      </c>
      <c r="AB154" s="111">
        <f t="shared" si="34"/>
        <v>0</v>
      </c>
      <c r="AC154" s="111">
        <f t="shared" si="34"/>
        <v>6177935</v>
      </c>
      <c r="AD154" s="111">
        <f t="shared" si="34"/>
        <v>0</v>
      </c>
      <c r="AE154" s="111">
        <f t="shared" si="34"/>
        <v>6474914</v>
      </c>
      <c r="AF154" s="111">
        <f t="shared" si="34"/>
        <v>0</v>
      </c>
      <c r="AG154" s="111">
        <f t="shared" si="34"/>
        <v>6578416</v>
      </c>
      <c r="AH154" s="111">
        <f t="shared" si="34"/>
        <v>0</v>
      </c>
      <c r="AI154" s="111">
        <f t="shared" si="34"/>
        <v>6705842</v>
      </c>
      <c r="AJ154" s="111">
        <f t="shared" si="34"/>
        <v>0</v>
      </c>
      <c r="AK154" s="111">
        <f t="shared" si="34"/>
        <v>6805798</v>
      </c>
      <c r="AL154" s="111">
        <f t="shared" si="34"/>
        <v>0</v>
      </c>
      <c r="AM154" s="111">
        <f t="shared" si="34"/>
        <v>6964384</v>
      </c>
      <c r="AN154" s="111">
        <f t="shared" si="34"/>
        <v>0</v>
      </c>
      <c r="AO154" s="111">
        <f t="shared" si="34"/>
        <v>7246013</v>
      </c>
      <c r="AP154" s="111">
        <f t="shared" si="34"/>
        <v>0</v>
      </c>
      <c r="AQ154" s="111">
        <f t="shared" si="34"/>
        <v>7896405</v>
      </c>
      <c r="AR154" s="111">
        <f t="shared" si="34"/>
        <v>0</v>
      </c>
      <c r="AS154" s="111">
        <f t="shared" si="34"/>
        <v>8248188</v>
      </c>
      <c r="AT154" s="111">
        <f t="shared" si="34"/>
        <v>0</v>
      </c>
    </row>
    <row r="155" spans="2:46" ht="13.15" x14ac:dyDescent="0.35">
      <c r="B155" s="116"/>
      <c r="C155" s="124" t="s">
        <v>164</v>
      </c>
      <c r="E155" s="47">
        <f>[2]!s_stmnote_bank_624($C$6,E6,1,2,1000000)</f>
        <v>0</v>
      </c>
      <c r="F155" s="47">
        <f>[2]!s_stmnote_bank_624($C$6,F6,1,2,1000000)</f>
        <v>0</v>
      </c>
      <c r="G155" s="47">
        <f>[2]!s_stmnote_bank_624($C$6,G6,1,2,1000000)</f>
        <v>0</v>
      </c>
      <c r="H155" s="47">
        <f>[2]!s_stmnote_bank_624($C$6,H6,1,2,1000000)</f>
        <v>0</v>
      </c>
      <c r="I155" s="47">
        <f>[2]!s_stmnote_bank_624($C$6,I6,1,2,1000000)</f>
        <v>2192679</v>
      </c>
      <c r="J155" s="47">
        <f>[2]!s_stmnote_bank_624($C$6,J6,1,2,1000000)</f>
        <v>0</v>
      </c>
      <c r="K155" s="47">
        <f>[2]!s_stmnote_bank_624($C$6,K6,1,2,1000000)</f>
        <v>2353749</v>
      </c>
      <c r="L155" s="47">
        <f>[2]!s_stmnote_bank_624($C$6,L6,1,2,1000000)</f>
        <v>0</v>
      </c>
      <c r="M155" s="47">
        <f>[2]!s_stmnote_bank_624($C$6,M6,1,2,1000000)</f>
        <v>2439832</v>
      </c>
      <c r="N155" s="47">
        <f>[2]!s_stmnote_bank_624($C$6,N6,1,2,1000000)</f>
        <v>0</v>
      </c>
      <c r="O155" s="47">
        <f>[2]!s_stmnote_bank_624($C$6,O6,1,2,1000000)</f>
        <v>2676108</v>
      </c>
      <c r="P155" s="47">
        <f>[2]!s_stmnote_bank_624($C$6,P6,1,2,1000000)</f>
        <v>0</v>
      </c>
      <c r="Q155" s="47">
        <f>[2]!s_stmnote_bank_624($C$6,Q6,1,2,1000000)</f>
        <v>2911786</v>
      </c>
      <c r="R155" s="47">
        <f>[2]!s_stmnote_bank_624($C$6,R6,1,2,1000000)</f>
        <v>0</v>
      </c>
      <c r="S155" s="47">
        <f>[2]!s_stmnote_bank_624($C$6,S6,1,2,1000000)</f>
        <v>3291916</v>
      </c>
      <c r="T155" s="47">
        <f>[2]!s_stmnote_bank_624($C$6,T6,1,2,1000000)</f>
        <v>0</v>
      </c>
      <c r="U155" s="47">
        <f>[2]!s_stmnote_bank_624($C$6,U6,1,2,1000000)</f>
        <v>3403001</v>
      </c>
      <c r="V155" s="47">
        <f>[2]!s_stmnote_bank_624($C$6,V6,1,2,1000000)</f>
        <v>0</v>
      </c>
      <c r="W155" s="47">
        <f>[2]!s_stmnote_bank_624($C$6,W6,1,2,1000000)</f>
        <v>3567215</v>
      </c>
      <c r="X155" s="47">
        <f>[2]!s_stmnote_bank_624($C$6,X6,1,2,1000000)</f>
        <v>0</v>
      </c>
      <c r="Y155" s="47">
        <f>[2]!s_stmnote_bank_624($C$6,Y6,1,2,1000000)</f>
        <v>3636027</v>
      </c>
      <c r="Z155" s="47">
        <f>[2]!s_stmnote_bank_624($C$6,Z6,1,2,1000000)</f>
        <v>0</v>
      </c>
      <c r="AA155" s="47">
        <f>[2]!s_stmnote_bank_624($C$6,AA6,1,2,1000000)</f>
        <v>3544438</v>
      </c>
      <c r="AB155" s="47">
        <f>[2]!s_stmnote_bank_624($C$6,AB6,1,2,1000000)</f>
        <v>0</v>
      </c>
      <c r="AC155" s="47">
        <f>[2]!s_stmnote_bank_624($C$6,AC6,1,2,1000000)</f>
        <v>3668004</v>
      </c>
      <c r="AD155" s="47">
        <f>[2]!s_stmnote_bank_624($C$6,AD6,1,2,1000000)</f>
        <v>0</v>
      </c>
      <c r="AE155" s="47">
        <f>[2]!s_stmnote_bank_624($C$6,AE6,1,2,1000000)</f>
        <v>3668012</v>
      </c>
      <c r="AF155" s="47">
        <f>[2]!s_stmnote_bank_624($C$6,AF6,1,2,1000000)</f>
        <v>0</v>
      </c>
      <c r="AG155" s="47">
        <f>[2]!s_stmnote_bank_624($C$6,AG6,1,2,1000000)</f>
        <v>3771329</v>
      </c>
      <c r="AH155" s="47">
        <f>[2]!s_stmnote_bank_624($C$6,AH6,1,2,1000000)</f>
        <v>0</v>
      </c>
      <c r="AI155" s="47">
        <f>[2]!s_stmnote_bank_624($C$6,AI6,1,2,1000000)</f>
        <v>3738446</v>
      </c>
      <c r="AJ155" s="47">
        <f>[2]!s_stmnote_bank_624($C$6,AJ6,1,2,1000000)</f>
        <v>0</v>
      </c>
      <c r="AK155" s="47">
        <f>[2]!s_stmnote_bank_624($C$6,AK6,1,2,1000000)</f>
        <v>3853902</v>
      </c>
      <c r="AL155" s="47">
        <f>[2]!s_stmnote_bank_624($C$6,AL6,1,2,1000000)</f>
        <v>0</v>
      </c>
      <c r="AM155" s="47">
        <f>[2]!s_stmnote_bank_624($C$6,AM6,1,2,1000000)</f>
        <v>3882374</v>
      </c>
      <c r="AN155" s="47">
        <f>[2]!s_stmnote_bank_624($C$6,AN6,1,2,1000000)</f>
        <v>0</v>
      </c>
      <c r="AO155" s="47">
        <f>[2]!s_stmnote_bank_624($C$6,AO6,1,2,1000000)</f>
        <v>4114568</v>
      </c>
      <c r="AP155" s="47">
        <f>[2]!s_stmnote_bank_624($C$6,AP6,1,2,1000000)</f>
        <v>0</v>
      </c>
      <c r="AQ155" s="47">
        <f>[2]!s_stmnote_bank_624($C$6,AQ6,1,2,1000000)</f>
        <v>4469017</v>
      </c>
      <c r="AR155" s="47">
        <f>[2]!s_stmnote_bank_624($C$6,AR6,1,2,1000000)</f>
        <v>0</v>
      </c>
      <c r="AS155" s="47">
        <f>[2]!s_stmnote_bank_624($C$6,AS6,1,2,1000000)</f>
        <v>4807607</v>
      </c>
      <c r="AT155" s="47">
        <f>[2]!s_stmnote_bank_624($C$6,AT6,1,2,1000000)</f>
        <v>0</v>
      </c>
    </row>
    <row r="156" spans="2:46" ht="13.15" x14ac:dyDescent="0.35">
      <c r="B156" s="116"/>
      <c r="C156" s="124" t="s">
        <v>165</v>
      </c>
      <c r="E156" s="47">
        <f>[2]!s_stmnote_bank_622($C$6,E6,1,2,1000000)</f>
        <v>0</v>
      </c>
      <c r="F156" s="47">
        <f>[2]!s_stmnote_bank_622($C$6,F6,1,2,1000000)</f>
        <v>0</v>
      </c>
      <c r="G156" s="47">
        <f>[2]!s_stmnote_bank_622($C$6,G6,1,2,1000000)</f>
        <v>0</v>
      </c>
      <c r="H156" s="47">
        <f>[2]!s_stmnote_bank_622($C$6,H6,1,2,1000000)</f>
        <v>0</v>
      </c>
      <c r="I156" s="47">
        <f>[2]!s_stmnote_bank_622($C$6,I6,1,2,1000000)</f>
        <v>1136852</v>
      </c>
      <c r="J156" s="47">
        <f>[2]!s_stmnote_bank_622($C$6,J6,1,2,1000000)</f>
        <v>0</v>
      </c>
      <c r="K156" s="47">
        <f>[2]!s_stmnote_bank_622($C$6,K6,1,2,1000000)</f>
        <v>1178440</v>
      </c>
      <c r="L156" s="47">
        <f>[2]!s_stmnote_bank_622($C$6,L6,1,2,1000000)</f>
        <v>0</v>
      </c>
      <c r="M156" s="47">
        <f>[2]!s_stmnote_bank_622($C$6,M6,1,2,1000000)</f>
        <v>1281000</v>
      </c>
      <c r="N156" s="47">
        <f>[2]!s_stmnote_bank_622($C$6,N6,1,2,1000000)</f>
        <v>0</v>
      </c>
      <c r="O156" s="47">
        <f>[2]!s_stmnote_bank_622($C$6,O6,1,2,1000000)</f>
        <v>1447515</v>
      </c>
      <c r="P156" s="47">
        <f>[2]!s_stmnote_bank_622($C$6,P6,1,2,1000000)</f>
        <v>0</v>
      </c>
      <c r="Q156" s="47">
        <f>[2]!s_stmnote_bank_622($C$6,Q6,1,2,1000000)</f>
        <v>1537701</v>
      </c>
      <c r="R156" s="47">
        <f>[2]!s_stmnote_bank_622($C$6,R6,1,2,1000000)</f>
        <v>0</v>
      </c>
      <c r="S156" s="47">
        <f>[2]!s_stmnote_bank_622($C$6,S6,1,2,1000000)</f>
        <v>1919444</v>
      </c>
      <c r="T156" s="47">
        <f>[2]!s_stmnote_bank_622($C$6,T6,1,2,1000000)</f>
        <v>0</v>
      </c>
      <c r="U156" s="47">
        <f>[2]!s_stmnote_bank_622($C$6,U6,1,2,1000000)</f>
        <v>1943350</v>
      </c>
      <c r="V156" s="47">
        <f>[2]!s_stmnote_bank_622($C$6,V6,1,2,1000000)</f>
        <v>0</v>
      </c>
      <c r="W156" s="47">
        <f>[2]!s_stmnote_bank_622($C$6,W6,1,2,1000000)</f>
        <v>2191831</v>
      </c>
      <c r="X156" s="47">
        <f>[2]!s_stmnote_bank_622($C$6,X6,1,2,1000000)</f>
        <v>0</v>
      </c>
      <c r="Y156" s="47">
        <f>[2]!s_stmnote_bank_622($C$6,Y6,1,2,1000000)</f>
        <v>2194871</v>
      </c>
      <c r="Z156" s="47">
        <f>[2]!s_stmnote_bank_622($C$6,Z6,1,2,1000000)</f>
        <v>0</v>
      </c>
      <c r="AA156" s="47">
        <f>[2]!s_stmnote_bank_622($C$6,AA6,1,2,1000000)</f>
        <v>2434085</v>
      </c>
      <c r="AB156" s="47">
        <f>[2]!s_stmnote_bank_622($C$6,AB6,1,2,1000000)</f>
        <v>0</v>
      </c>
      <c r="AC156" s="47">
        <f>[2]!s_stmnote_bank_622($C$6,AC6,1,2,1000000)</f>
        <v>2509931</v>
      </c>
      <c r="AD156" s="47">
        <f>[2]!s_stmnote_bank_622($C$6,AD6,1,2,1000000)</f>
        <v>0</v>
      </c>
      <c r="AE156" s="47">
        <f>[2]!s_stmnote_bank_622($C$6,AE6,1,2,1000000)</f>
        <v>2806902</v>
      </c>
      <c r="AF156" s="47">
        <f>[2]!s_stmnote_bank_622($C$6,AF6,1,2,1000000)</f>
        <v>0</v>
      </c>
      <c r="AG156" s="47">
        <f>[2]!s_stmnote_bank_622($C$6,AG6,1,2,1000000)</f>
        <v>2807087</v>
      </c>
      <c r="AH156" s="47">
        <f>[2]!s_stmnote_bank_622($C$6,AH6,1,2,1000000)</f>
        <v>0</v>
      </c>
      <c r="AI156" s="47">
        <f>[2]!s_stmnote_bank_622($C$6,AI6,1,2,1000000)</f>
        <v>2967396</v>
      </c>
      <c r="AJ156" s="47">
        <f>[2]!s_stmnote_bank_622($C$6,AJ6,1,2,1000000)</f>
        <v>0</v>
      </c>
      <c r="AK156" s="47">
        <f>[2]!s_stmnote_bank_622($C$6,AK6,1,2,1000000)</f>
        <v>2951896</v>
      </c>
      <c r="AL156" s="47">
        <f>[2]!s_stmnote_bank_622($C$6,AL6,1,2,1000000)</f>
        <v>0</v>
      </c>
      <c r="AM156" s="47">
        <f>[2]!s_stmnote_bank_622($C$6,AM6,1,2,1000000)</f>
        <v>3082010</v>
      </c>
      <c r="AN156" s="47">
        <f>[2]!s_stmnote_bank_622($C$6,AN6,1,2,1000000)</f>
        <v>0</v>
      </c>
      <c r="AO156" s="47">
        <f>[2]!s_stmnote_bank_622($C$6,AO6,1,2,1000000)</f>
        <v>3131445</v>
      </c>
      <c r="AP156" s="47">
        <f>[2]!s_stmnote_bank_622($C$6,AP6,1,2,1000000)</f>
        <v>0</v>
      </c>
      <c r="AQ156" s="47">
        <f>[2]!s_stmnote_bank_622($C$6,AQ6,1,2,1000000)</f>
        <v>3427388</v>
      </c>
      <c r="AR156" s="47">
        <f>[2]!s_stmnote_bank_622($C$6,AR6,1,2,1000000)</f>
        <v>0</v>
      </c>
      <c r="AS156" s="47">
        <f>[2]!s_stmnote_bank_622($C$6,AS6,1,2,1000000)</f>
        <v>3440581</v>
      </c>
      <c r="AT156" s="47">
        <f>[2]!s_stmnote_bank_622($C$6,AT6,1,2,1000000)</f>
        <v>0</v>
      </c>
    </row>
    <row r="157" spans="2:46" ht="13.15" x14ac:dyDescent="0.35">
      <c r="B157" s="116"/>
      <c r="C157" s="124" t="s">
        <v>141</v>
      </c>
      <c r="E157" s="139">
        <f>E158+E159</f>
        <v>0</v>
      </c>
      <c r="F157" s="139">
        <f t="shared" ref="F157:AT157" si="35">F158+F159</f>
        <v>0</v>
      </c>
      <c r="G157" s="139">
        <f t="shared" si="35"/>
        <v>0</v>
      </c>
      <c r="H157" s="139">
        <f t="shared" si="35"/>
        <v>0</v>
      </c>
      <c r="I157" s="139">
        <f t="shared" si="35"/>
        <v>3110829</v>
      </c>
      <c r="J157" s="139">
        <f t="shared" si="35"/>
        <v>0</v>
      </c>
      <c r="K157" s="139">
        <f t="shared" si="35"/>
        <v>3363269</v>
      </c>
      <c r="L157" s="139">
        <f t="shared" si="35"/>
        <v>0</v>
      </c>
      <c r="M157" s="139">
        <f t="shared" si="35"/>
        <v>3504051</v>
      </c>
      <c r="N157" s="139">
        <f t="shared" si="35"/>
        <v>0</v>
      </c>
      <c r="O157" s="139">
        <f t="shared" si="35"/>
        <v>4437503</v>
      </c>
      <c r="P157" s="139">
        <f t="shared" si="35"/>
        <v>0</v>
      </c>
      <c r="Q157" s="139">
        <f t="shared" si="35"/>
        <v>4487599</v>
      </c>
      <c r="R157" s="139">
        <f t="shared" si="35"/>
        <v>0</v>
      </c>
      <c r="S157" s="139">
        <f t="shared" si="35"/>
        <v>4647279</v>
      </c>
      <c r="T157" s="139">
        <f t="shared" si="35"/>
        <v>0</v>
      </c>
      <c r="U157" s="139">
        <f t="shared" si="35"/>
        <v>4821967</v>
      </c>
      <c r="V157" s="139">
        <f t="shared" si="35"/>
        <v>0</v>
      </c>
      <c r="W157" s="139">
        <f t="shared" si="35"/>
        <v>5128095</v>
      </c>
      <c r="X157" s="139">
        <f t="shared" si="35"/>
        <v>0</v>
      </c>
      <c r="Y157" s="139">
        <f t="shared" si="35"/>
        <v>5259410</v>
      </c>
      <c r="Z157" s="139">
        <f t="shared" si="35"/>
        <v>0</v>
      </c>
      <c r="AA157" s="139">
        <f t="shared" si="35"/>
        <v>5718427</v>
      </c>
      <c r="AB157" s="139">
        <f t="shared" si="35"/>
        <v>0</v>
      </c>
      <c r="AC157" s="139">
        <f t="shared" si="35"/>
        <v>6005770</v>
      </c>
      <c r="AD157" s="139">
        <f t="shared" si="35"/>
        <v>0</v>
      </c>
      <c r="AE157" s="139">
        <f t="shared" si="35"/>
        <v>6728961</v>
      </c>
      <c r="AF157" s="139">
        <f t="shared" si="35"/>
        <v>0</v>
      </c>
      <c r="AG157" s="139">
        <f t="shared" si="35"/>
        <v>6869691</v>
      </c>
      <c r="AH157" s="139">
        <f t="shared" si="35"/>
        <v>0</v>
      </c>
      <c r="AI157" s="139">
        <f t="shared" si="35"/>
        <v>7209324</v>
      </c>
      <c r="AJ157" s="139">
        <f t="shared" si="35"/>
        <v>0</v>
      </c>
      <c r="AK157" s="139">
        <f t="shared" si="35"/>
        <v>7309861</v>
      </c>
      <c r="AL157" s="139">
        <f t="shared" si="35"/>
        <v>0</v>
      </c>
      <c r="AM157" s="139">
        <f t="shared" si="35"/>
        <v>7659306</v>
      </c>
      <c r="AN157" s="139">
        <f t="shared" si="35"/>
        <v>0</v>
      </c>
      <c r="AO157" s="139">
        <f t="shared" si="35"/>
        <v>7729239</v>
      </c>
      <c r="AP157" s="139">
        <f t="shared" si="35"/>
        <v>0</v>
      </c>
      <c r="AQ157" s="139">
        <f t="shared" si="35"/>
        <v>7891789</v>
      </c>
      <c r="AR157" s="139">
        <f t="shared" si="35"/>
        <v>0</v>
      </c>
      <c r="AS157" s="139">
        <f>AS158+AS159</f>
        <v>7937305</v>
      </c>
      <c r="AT157" s="139">
        <f t="shared" si="35"/>
        <v>0</v>
      </c>
    </row>
    <row r="158" spans="2:46" ht="13.15" x14ac:dyDescent="0.35">
      <c r="B158" s="116"/>
      <c r="C158" s="124" t="s">
        <v>166</v>
      </c>
      <c r="E158" s="47">
        <f>[2]!s_stmnote_bank_623($C$6,E6,1,2,1000000)</f>
        <v>0</v>
      </c>
      <c r="F158" s="47">
        <f>[2]!s_stmnote_bank_623($C$6,F6,1,2,1000000)</f>
        <v>0</v>
      </c>
      <c r="G158" s="47">
        <f>[2]!s_stmnote_bank_623($C$6,G6,1,2,1000000)</f>
        <v>0</v>
      </c>
      <c r="H158" s="47">
        <f>[2]!s_stmnote_bank_623($C$6,H6,1,2,1000000)</f>
        <v>0</v>
      </c>
      <c r="I158" s="47">
        <f>[2]!s_stmnote_bank_623($C$6,I6,1,2,1000000)</f>
        <v>979717</v>
      </c>
      <c r="J158" s="47">
        <f>[2]!s_stmnote_bank_623($C$6,J6,1,2,1000000)</f>
        <v>0</v>
      </c>
      <c r="K158" s="47">
        <f>[2]!s_stmnote_bank_623($C$6,K6,1,2,1000000)</f>
        <v>1157765</v>
      </c>
      <c r="L158" s="47">
        <f>[2]!s_stmnote_bank_623($C$6,L6,1,2,1000000)</f>
        <v>0</v>
      </c>
      <c r="M158" s="47">
        <f>[2]!s_stmnote_bank_623($C$6,M6,1,2,1000000)</f>
        <v>1227435</v>
      </c>
      <c r="N158" s="47">
        <f>[2]!s_stmnote_bank_623($C$6,N6,1,2,1000000)</f>
        <v>0</v>
      </c>
      <c r="O158" s="47">
        <f>[2]!s_stmnote_bank_623($C$6,O6,1,2,1000000)</f>
        <v>1560086</v>
      </c>
      <c r="P158" s="47">
        <f>[2]!s_stmnote_bank_623($C$6,P6,1,2,1000000)</f>
        <v>0</v>
      </c>
      <c r="Q158" s="47">
        <f>[2]!s_stmnote_bank_623($C$6,Q6,1,2,1000000)</f>
        <v>1618171</v>
      </c>
      <c r="R158" s="47">
        <f>[2]!s_stmnote_bank_623($C$6,R6,1,2,1000000)</f>
        <v>0</v>
      </c>
      <c r="S158" s="47">
        <f>[2]!s_stmnote_bank_623($C$6,S6,1,2,1000000)</f>
        <v>1763274</v>
      </c>
      <c r="T158" s="47">
        <f>[2]!s_stmnote_bank_623($C$6,T6,1,2,1000000)</f>
        <v>0</v>
      </c>
      <c r="U158" s="47">
        <f>[2]!s_stmnote_bank_623($C$6,U6,1,2,1000000)</f>
        <v>1869683</v>
      </c>
      <c r="V158" s="47">
        <f>[2]!s_stmnote_bank_623($C$6,V6,1,2,1000000)</f>
        <v>0</v>
      </c>
      <c r="W158" s="47">
        <f>[2]!s_stmnote_bank_623($C$6,W6,1,2,1000000)</f>
        <v>2001320</v>
      </c>
      <c r="X158" s="47">
        <f>[2]!s_stmnote_bank_623($C$6,X6,1,2,1000000)</f>
        <v>0</v>
      </c>
      <c r="Y158" s="47">
        <f>[2]!s_stmnote_bank_623($C$6,Y6,1,2,1000000)</f>
        <v>2071114</v>
      </c>
      <c r="Z158" s="47">
        <f>[2]!s_stmnote_bank_623($C$6,Z6,1,2,1000000)</f>
        <v>0</v>
      </c>
      <c r="AA158" s="47">
        <f>[2]!s_stmnote_bank_623($C$6,AA6,1,2,1000000)</f>
        <v>2241789</v>
      </c>
      <c r="AB158" s="47">
        <f>[2]!s_stmnote_bank_623($C$6,AB6,1,2,1000000)</f>
        <v>0</v>
      </c>
      <c r="AC158" s="47">
        <f>[2]!s_stmnote_bank_623($C$6,AC6,1,2,1000000)</f>
        <v>2443236</v>
      </c>
      <c r="AD158" s="47">
        <f>[2]!s_stmnote_bank_623($C$6,AD6,1,2,1000000)</f>
        <v>0</v>
      </c>
      <c r="AE158" s="47">
        <f>[2]!s_stmnote_bank_623($C$6,AE6,1,2,1000000)</f>
        <v>2893288</v>
      </c>
      <c r="AF158" s="47">
        <f>[2]!s_stmnote_bank_623($C$6,AF6,1,2,1000000)</f>
        <v>0</v>
      </c>
      <c r="AG158" s="47">
        <f>[2]!s_stmnote_bank_623($C$6,AG6,1,2,1000000)</f>
        <v>3011134</v>
      </c>
      <c r="AH158" s="47">
        <f>[2]!s_stmnote_bank_623($C$6,AH6,1,2,1000000)</f>
        <v>0</v>
      </c>
      <c r="AI158" s="47">
        <f>[2]!s_stmnote_bank_623($C$6,AI6,1,2,1000000)</f>
        <v>3310621</v>
      </c>
      <c r="AJ158" s="47">
        <f>[2]!s_stmnote_bank_623($C$6,AJ6,1,2,1000000)</f>
        <v>0</v>
      </c>
      <c r="AK158" s="47">
        <f>[2]!s_stmnote_bank_623($C$6,AK6,1,2,1000000)</f>
        <v>3398080</v>
      </c>
      <c r="AL158" s="47">
        <f>[2]!s_stmnote_bank_623($C$6,AL6,1,2,1000000)</f>
        <v>0</v>
      </c>
      <c r="AM158" s="47">
        <f>[2]!s_stmnote_bank_623($C$6,AM6,1,2,1000000)</f>
        <v>3615510</v>
      </c>
      <c r="AN158" s="47">
        <f>[2]!s_stmnote_bank_623($C$6,AN6,1,2,1000000)</f>
        <v>0</v>
      </c>
      <c r="AO158" s="47">
        <f>[2]!s_stmnote_bank_623($C$6,AO6,1,2,1000000)</f>
        <v>3655043</v>
      </c>
      <c r="AP158" s="47">
        <f>[2]!s_stmnote_bank_623($C$6,AP6,1,2,1000000)</f>
        <v>0</v>
      </c>
      <c r="AQ158" s="47">
        <f>[2]!s_stmnote_bank_623($C$6,AQ6,1,2,1000000)</f>
        <v>3653960</v>
      </c>
      <c r="AR158" s="47">
        <f>[2]!s_stmnote_bank_623($C$6,AR6,1,2,1000000)</f>
        <v>0</v>
      </c>
      <c r="AS158" s="47">
        <f>[2]!s_stmnote_bank_623($C$6,AS6,1,2,1000000)</f>
        <v>3674017</v>
      </c>
      <c r="AT158" s="47">
        <f>[2]!s_stmnote_bank_623($C$6,AT6,1,2,1000000)</f>
        <v>0</v>
      </c>
    </row>
    <row r="159" spans="2:46" ht="13.15" x14ac:dyDescent="0.35">
      <c r="B159" s="116"/>
      <c r="C159" s="124" t="s">
        <v>167</v>
      </c>
      <c r="E159" s="47">
        <f>[2]!s_stmnote_bank_621($C$6,E6,1,2,1000000)</f>
        <v>0</v>
      </c>
      <c r="F159" s="47">
        <f>[2]!s_stmnote_bank_621($C$6,F6,1,2,1000000)</f>
        <v>0</v>
      </c>
      <c r="G159" s="47">
        <f>[2]!s_stmnote_bank_621($C$6,G6,1,2,1000000)</f>
        <v>0</v>
      </c>
      <c r="H159" s="47">
        <f>[2]!s_stmnote_bank_621($C$6,H6,1,2,1000000)</f>
        <v>0</v>
      </c>
      <c r="I159" s="47">
        <f>[2]!s_stmnote_bank_621($C$6,I6,1,2,1000000)</f>
        <v>2131112</v>
      </c>
      <c r="J159" s="47">
        <f>[2]!s_stmnote_bank_621($C$6,J6,1,2,1000000)</f>
        <v>0</v>
      </c>
      <c r="K159" s="47">
        <f>[2]!s_stmnote_bank_621($C$6,K6,1,2,1000000)</f>
        <v>2205504</v>
      </c>
      <c r="L159" s="47">
        <f>[2]!s_stmnote_bank_621($C$6,L6,1,2,1000000)</f>
        <v>0</v>
      </c>
      <c r="M159" s="47">
        <f>[2]!s_stmnote_bank_621($C$6,M6,1,2,1000000)</f>
        <v>2276616</v>
      </c>
      <c r="N159" s="47">
        <f>[2]!s_stmnote_bank_621($C$6,N6,1,2,1000000)</f>
        <v>0</v>
      </c>
      <c r="O159" s="47">
        <f>[2]!s_stmnote_bank_621($C$6,O6,1,2,1000000)</f>
        <v>2877417</v>
      </c>
      <c r="P159" s="47">
        <f>[2]!s_stmnote_bank_621($C$6,P6,1,2,1000000)</f>
        <v>0</v>
      </c>
      <c r="Q159" s="47">
        <f>[2]!s_stmnote_bank_621($C$6,Q6,1,2,1000000)</f>
        <v>2869428</v>
      </c>
      <c r="R159" s="47">
        <f>[2]!s_stmnote_bank_621($C$6,R6,1,2,1000000)</f>
        <v>0</v>
      </c>
      <c r="S159" s="47">
        <f>[2]!s_stmnote_bank_621($C$6,S6,1,2,1000000)</f>
        <v>2884005</v>
      </c>
      <c r="T159" s="47">
        <f>[2]!s_stmnote_bank_621($C$6,T6,1,2,1000000)</f>
        <v>0</v>
      </c>
      <c r="U159" s="47">
        <f>[2]!s_stmnote_bank_621($C$6,U6,1,2,1000000)</f>
        <v>2952284</v>
      </c>
      <c r="V159" s="47">
        <f>[2]!s_stmnote_bank_621($C$6,V6,1,2,1000000)</f>
        <v>0</v>
      </c>
      <c r="W159" s="47">
        <f>[2]!s_stmnote_bank_621($C$6,W6,1,2,1000000)</f>
        <v>3126775</v>
      </c>
      <c r="X159" s="47">
        <f>[2]!s_stmnote_bank_621($C$6,X6,1,2,1000000)</f>
        <v>0</v>
      </c>
      <c r="Y159" s="47">
        <f>[2]!s_stmnote_bank_621($C$6,Y6,1,2,1000000)</f>
        <v>3188296</v>
      </c>
      <c r="Z159" s="47">
        <f>[2]!s_stmnote_bank_621($C$6,Z6,1,2,1000000)</f>
        <v>0</v>
      </c>
      <c r="AA159" s="47">
        <f>[2]!s_stmnote_bank_621($C$6,AA6,1,2,1000000)</f>
        <v>3476638</v>
      </c>
      <c r="AB159" s="47">
        <f>[2]!s_stmnote_bank_621($C$6,AB6,1,2,1000000)</f>
        <v>0</v>
      </c>
      <c r="AC159" s="47">
        <f>[2]!s_stmnote_bank_621($C$6,AC6,1,2,1000000)</f>
        <v>3562534</v>
      </c>
      <c r="AD159" s="47">
        <f>[2]!s_stmnote_bank_621($C$6,AD6,1,2,1000000)</f>
        <v>0</v>
      </c>
      <c r="AE159" s="47">
        <f>[2]!s_stmnote_bank_621($C$6,AE6,1,2,1000000)</f>
        <v>3835673</v>
      </c>
      <c r="AF159" s="47">
        <f>[2]!s_stmnote_bank_621($C$6,AF6,1,2,1000000)</f>
        <v>0</v>
      </c>
      <c r="AG159" s="47">
        <f>[2]!s_stmnote_bank_621($C$6,AG6,1,2,1000000)</f>
        <v>3858557</v>
      </c>
      <c r="AH159" s="47">
        <f>[2]!s_stmnote_bank_621($C$6,AH6,1,2,1000000)</f>
        <v>0</v>
      </c>
      <c r="AI159" s="47">
        <f>[2]!s_stmnote_bank_621($C$6,AI6,1,2,1000000)</f>
        <v>3898703</v>
      </c>
      <c r="AJ159" s="47">
        <f>[2]!s_stmnote_bank_621($C$6,AJ6,1,2,1000000)</f>
        <v>0</v>
      </c>
      <c r="AK159" s="47">
        <f>[2]!s_stmnote_bank_621($C$6,AK6,1,2,1000000)</f>
        <v>3911781</v>
      </c>
      <c r="AL159" s="47">
        <f>[2]!s_stmnote_bank_621($C$6,AL6,1,2,1000000)</f>
        <v>0</v>
      </c>
      <c r="AM159" s="47">
        <f>[2]!s_stmnote_bank_621($C$6,AM6,1,2,1000000)</f>
        <v>4043796</v>
      </c>
      <c r="AN159" s="47">
        <f>[2]!s_stmnote_bank_621($C$6,AN6,1,2,1000000)</f>
        <v>0</v>
      </c>
      <c r="AO159" s="47">
        <f>[2]!s_stmnote_bank_621($C$6,AO6,1,2,1000000)</f>
        <v>4074196</v>
      </c>
      <c r="AP159" s="47">
        <f>[2]!s_stmnote_bank_621($C$6,AP6,1,2,1000000)</f>
        <v>0</v>
      </c>
      <c r="AQ159" s="47">
        <f>[2]!s_stmnote_bank_621($C$6,AQ6,1,2,1000000)</f>
        <v>4237829</v>
      </c>
      <c r="AR159" s="47">
        <f>[2]!s_stmnote_bank_621($C$6,AR6,1,2,1000000)</f>
        <v>0</v>
      </c>
      <c r="AS159" s="47">
        <f>[2]!s_stmnote_bank_621($C$6,AS6,1,2,1000000)</f>
        <v>4263288</v>
      </c>
      <c r="AT159" s="47">
        <f>[2]!s_stmnote_bank_621($C$6,AT6,1,2,1000000)</f>
        <v>0</v>
      </c>
    </row>
    <row r="160" spans="2:46" ht="13.15" x14ac:dyDescent="0.35">
      <c r="B160" s="116"/>
      <c r="C160" s="125" t="s">
        <v>168</v>
      </c>
      <c r="E160" s="48">
        <f>[2]!s_stmnote_bank_625($C$6,E6,1,2,1000000)</f>
        <v>0</v>
      </c>
      <c r="F160" s="48">
        <f>[2]!s_stmnote_bank_625($C$6,F6,1,2,1000000)</f>
        <v>0</v>
      </c>
      <c r="G160" s="48">
        <f>[2]!s_stmnote_bank_625($C$6,G6,1,2,1000000)</f>
        <v>0</v>
      </c>
      <c r="H160" s="48">
        <f>[2]!s_stmnote_bank_625($C$6,H6,1,2,1000000)</f>
        <v>0</v>
      </c>
      <c r="I160" s="48">
        <f>[2]!s_stmnote_bank_625($C$6,I6,1,2,1000000)</f>
        <v>0</v>
      </c>
      <c r="J160" s="48">
        <f>[2]!s_stmnote_bank_625($C$6,J6,1,2,1000000)</f>
        <v>0</v>
      </c>
      <c r="K160" s="48">
        <f>[2]!s_stmnote_bank_625($C$6,K6,1,2,1000000)</f>
        <v>0</v>
      </c>
      <c r="L160" s="48">
        <f>[2]!s_stmnote_bank_625($C$6,L6,1,2,1000000)</f>
        <v>0</v>
      </c>
      <c r="M160" s="48">
        <f>[2]!s_stmnote_bank_625($C$6,M6,1,2,1000000)</f>
        <v>0</v>
      </c>
      <c r="N160" s="48">
        <f>[2]!s_stmnote_bank_625($C$6,N6,1,2,1000000)</f>
        <v>0</v>
      </c>
      <c r="O160" s="48">
        <f>[2]!s_stmnote_bank_625($C$6,O6,1,2,1000000)</f>
        <v>0</v>
      </c>
      <c r="P160" s="48">
        <f>[2]!s_stmnote_bank_625($C$6,P6,1,2,1000000)</f>
        <v>0</v>
      </c>
      <c r="Q160" s="48">
        <f>[2]!s_stmnote_bank_625($C$6,Q6,1,2,1000000)</f>
        <v>0</v>
      </c>
      <c r="R160" s="48">
        <f>[2]!s_stmnote_bank_625($C$6,R6,1,2,1000000)</f>
        <v>0</v>
      </c>
      <c r="S160" s="48">
        <f>[2]!s_stmnote_bank_625($C$6,S6,1,2,1000000)</f>
        <v>0</v>
      </c>
      <c r="T160" s="48">
        <f>[2]!s_stmnote_bank_625($C$6,T6,1,2,1000000)</f>
        <v>0</v>
      </c>
      <c r="U160" s="48">
        <f>[2]!s_stmnote_bank_625($C$6,U6,1,2,1000000)</f>
        <v>0</v>
      </c>
      <c r="V160" s="48">
        <f>[2]!s_stmnote_bank_625($C$6,V6,1,2,1000000)</f>
        <v>0</v>
      </c>
      <c r="W160" s="48">
        <f>[2]!s_stmnote_bank_625($C$6,W6,1,2,1000000)</f>
        <v>0</v>
      </c>
      <c r="X160" s="48">
        <f>[2]!s_stmnote_bank_625($C$6,X6,1,2,1000000)</f>
        <v>0</v>
      </c>
      <c r="Y160" s="48">
        <f>[2]!s_stmnote_bank_625($C$6,Y6,1,2,1000000)</f>
        <v>0</v>
      </c>
      <c r="Z160" s="48">
        <f>[2]!s_stmnote_bank_625($C$6,Z6,1,2,1000000)</f>
        <v>0</v>
      </c>
      <c r="AA160" s="48">
        <f>[2]!s_stmnote_bank_625($C$6,AA6,1,2,1000000)</f>
        <v>0</v>
      </c>
      <c r="AB160" s="48">
        <f>[2]!s_stmnote_bank_625($C$6,AB6,1,2,1000000)</f>
        <v>0</v>
      </c>
      <c r="AC160" s="48">
        <f>[2]!s_stmnote_bank_625($C$6,AC6,1,2,1000000)</f>
        <v>0</v>
      </c>
      <c r="AD160" s="48">
        <f>[2]!s_stmnote_bank_625($C$6,AD6,1,2,1000000)</f>
        <v>0</v>
      </c>
      <c r="AE160" s="48">
        <f>[2]!s_stmnote_bank_625($C$6,AE6,1,2,1000000)</f>
        <v>0</v>
      </c>
      <c r="AF160" s="48">
        <f>[2]!s_stmnote_bank_625($C$6,AF6,1,2,1000000)</f>
        <v>0</v>
      </c>
      <c r="AG160" s="48">
        <f>[2]!s_stmnote_bank_625($C$6,AG6,1,2,1000000)</f>
        <v>0</v>
      </c>
      <c r="AH160" s="48">
        <f>[2]!s_stmnote_bank_625($C$6,AH6,1,2,1000000)</f>
        <v>0</v>
      </c>
      <c r="AI160" s="48">
        <v>486846</v>
      </c>
      <c r="AJ160" s="48">
        <f>[2]!s_stmnote_bank_625($C$6,AJ6,1,2,1000000)</f>
        <v>0</v>
      </c>
      <c r="AK160" s="48">
        <v>511599</v>
      </c>
      <c r="AL160" s="48">
        <f>[2]!s_stmnote_bank_625($C$6,AL6,1,2,1000000)</f>
        <v>0</v>
      </c>
      <c r="AM160" s="48">
        <v>577946</v>
      </c>
      <c r="AN160" s="48">
        <f>[2]!s_stmnote_bank_625($C$6,AN6,1,2,1000000)</f>
        <v>0</v>
      </c>
      <c r="AO160" s="48">
        <v>604019</v>
      </c>
      <c r="AP160" s="48">
        <f>[2]!s_stmnote_bank_625($C$6,AP6,1,2,1000000)</f>
        <v>0</v>
      </c>
      <c r="AQ160" s="48">
        <v>585330</v>
      </c>
      <c r="AR160" s="48">
        <f>[2]!s_stmnote_bank_625($C$6,AR6,1,2,1000000)</f>
        <v>0</v>
      </c>
      <c r="AS160" s="48">
        <f>[2]!s_stmnote_bank_625($C$6,AS6,1,2,1000000)</f>
        <v>693038</v>
      </c>
      <c r="AT160" s="48">
        <f>[2]!s_stmnote_bank_625($C$6,AT6,1,2,1000000)</f>
        <v>0</v>
      </c>
    </row>
    <row r="161" spans="2:46" ht="13.15" x14ac:dyDescent="0.35">
      <c r="B161" s="116"/>
      <c r="C161" s="126" t="s">
        <v>169</v>
      </c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>
        <v>264493</v>
      </c>
      <c r="AD161" s="131"/>
      <c r="AE161" s="131"/>
      <c r="AF161" s="131"/>
      <c r="AG161" s="131">
        <v>291733</v>
      </c>
      <c r="AH161" s="131"/>
      <c r="AI161" s="131">
        <v>383933</v>
      </c>
      <c r="AJ161" s="131"/>
      <c r="AK161" s="131">
        <v>397785</v>
      </c>
      <c r="AL161" s="131"/>
      <c r="AM161" s="131">
        <v>418878</v>
      </c>
      <c r="AN161" s="131"/>
      <c r="AO161" s="131">
        <v>435460.00000000006</v>
      </c>
      <c r="AP161" s="131"/>
      <c r="AQ161" s="131">
        <v>486426</v>
      </c>
      <c r="AR161" s="131"/>
      <c r="AS161" s="131">
        <v>521697</v>
      </c>
      <c r="AT161" s="131"/>
    </row>
    <row r="162" spans="2:46" ht="13.15" x14ac:dyDescent="0.35">
      <c r="B162" s="116"/>
      <c r="C162" s="140" t="s">
        <v>170</v>
      </c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>
        <v>1694972</v>
      </c>
      <c r="AD162" s="131"/>
      <c r="AE162" s="131"/>
      <c r="AF162" s="131"/>
      <c r="AG162" s="131">
        <v>1685541.9999999998</v>
      </c>
      <c r="AH162" s="131"/>
      <c r="AI162" s="131">
        <v>1842986</v>
      </c>
      <c r="AJ162" s="131"/>
      <c r="AK162" s="131">
        <v>1819543.9999999998</v>
      </c>
      <c r="AL162" s="131"/>
      <c r="AM162" s="131">
        <v>2657016</v>
      </c>
      <c r="AN162" s="131"/>
      <c r="AO162" s="131">
        <v>2744339</v>
      </c>
      <c r="AP162" s="131"/>
      <c r="AQ162" s="131">
        <v>2696569</v>
      </c>
      <c r="AR162" s="131"/>
      <c r="AS162" s="131">
        <v>2595974</v>
      </c>
      <c r="AT162" s="131"/>
    </row>
    <row r="163" spans="2:46" ht="13.15" x14ac:dyDescent="0.35">
      <c r="B163" s="116"/>
      <c r="C163" s="124" t="s">
        <v>171</v>
      </c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  <c r="AT163" s="131"/>
    </row>
    <row r="164" spans="2:46" ht="13.15" x14ac:dyDescent="0.35">
      <c r="B164" s="116"/>
      <c r="C164" s="124" t="s">
        <v>63</v>
      </c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</row>
    <row r="165" spans="2:46" ht="13.15" x14ac:dyDescent="0.35">
      <c r="B165" s="116"/>
      <c r="C165" s="124" t="s">
        <v>172</v>
      </c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</row>
    <row r="166" spans="2:46" ht="13.15" x14ac:dyDescent="0.35">
      <c r="B166" s="116"/>
      <c r="C166" s="141" t="s">
        <v>173</v>
      </c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>
        <v>0</v>
      </c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</row>
    <row r="167" spans="2:46" ht="13.5" thickBot="1" x14ac:dyDescent="0.4">
      <c r="B167" s="116"/>
      <c r="C167" s="133" t="s">
        <v>174</v>
      </c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  <c r="AT167" s="134"/>
    </row>
    <row r="168" spans="2:46" x14ac:dyDescent="0.35">
      <c r="AO168" s="143"/>
      <c r="AS168" s="143"/>
    </row>
    <row r="169" spans="2:46" ht="13.15" x14ac:dyDescent="0.35">
      <c r="B169" s="94" t="s">
        <v>175</v>
      </c>
    </row>
    <row r="170" spans="2:46" ht="13.9" thickBot="1" x14ac:dyDescent="0.45">
      <c r="B170" s="116"/>
      <c r="C170" s="14"/>
      <c r="AA170" s="24"/>
      <c r="AC170" s="24">
        <f>AC172+AC177+AC182+AC183</f>
        <v>721439</v>
      </c>
      <c r="AG170" s="24">
        <f>AG172+AG177+AG182+AG183</f>
        <v>767111</v>
      </c>
      <c r="AK170" s="24">
        <f>AK172+AK177+AK182+AK183</f>
        <v>849879</v>
      </c>
      <c r="AM170" s="24">
        <f>AM172+AM177+AM182+AM183</f>
        <v>437295</v>
      </c>
      <c r="AO170" s="24">
        <f>AO172+AO177+AO182+AO183</f>
        <v>871779</v>
      </c>
      <c r="AS170" s="24">
        <f>AS172+AS177+AS182+AS183</f>
        <v>791480</v>
      </c>
    </row>
    <row r="171" spans="2:46" ht="13.5" x14ac:dyDescent="0.4">
      <c r="B171" s="16"/>
      <c r="C171" s="118" t="s">
        <v>176</v>
      </c>
      <c r="E171" s="62">
        <f>E69</f>
        <v>272941</v>
      </c>
      <c r="F171" s="62">
        <f t="shared" ref="F171:AT171" si="36">F69</f>
        <v>78476</v>
      </c>
      <c r="G171" s="62">
        <f t="shared" si="36"/>
        <v>163798</v>
      </c>
      <c r="H171" s="62">
        <f t="shared" si="36"/>
        <v>256255</v>
      </c>
      <c r="I171" s="62">
        <f t="shared" si="36"/>
        <v>357287</v>
      </c>
      <c r="J171" s="62">
        <f t="shared" si="36"/>
        <v>105609</v>
      </c>
      <c r="K171" s="62">
        <f t="shared" si="36"/>
        <v>215011</v>
      </c>
      <c r="L171" s="62">
        <f t="shared" si="36"/>
        <v>327426</v>
      </c>
      <c r="M171" s="62">
        <f t="shared" si="36"/>
        <v>440574</v>
      </c>
      <c r="N171" s="62">
        <f t="shared" si="36"/>
        <v>100066</v>
      </c>
      <c r="O171" s="62">
        <f t="shared" si="36"/>
        <v>199277</v>
      </c>
      <c r="P171" s="62">
        <f t="shared" si="36"/>
        <v>300819</v>
      </c>
      <c r="Q171" s="62">
        <f t="shared" si="36"/>
        <v>405878</v>
      </c>
      <c r="R171" s="62">
        <f t="shared" si="36"/>
        <v>106036</v>
      </c>
      <c r="S171" s="62">
        <f t="shared" si="36"/>
        <v>219865</v>
      </c>
      <c r="T171" s="62">
        <f t="shared" si="36"/>
        <v>338818</v>
      </c>
      <c r="U171" s="62">
        <f t="shared" si="36"/>
        <v>462762</v>
      </c>
      <c r="V171" s="62">
        <f t="shared" si="36"/>
        <v>130893</v>
      </c>
      <c r="W171" s="62">
        <f t="shared" si="36"/>
        <v>272719</v>
      </c>
      <c r="X171" s="62">
        <f t="shared" si="36"/>
        <v>426187</v>
      </c>
      <c r="Y171" s="62">
        <f t="shared" si="36"/>
        <v>589580</v>
      </c>
      <c r="Z171" s="62">
        <f t="shared" si="36"/>
        <v>174348</v>
      </c>
      <c r="AA171" s="62">
        <f t="shared" si="36"/>
        <v>354522</v>
      </c>
      <c r="AB171" s="62">
        <f t="shared" si="36"/>
        <v>537317</v>
      </c>
      <c r="AC171" s="62">
        <f t="shared" si="36"/>
        <v>721439</v>
      </c>
      <c r="AD171" s="62">
        <f t="shared" si="36"/>
        <v>184303</v>
      </c>
      <c r="AE171" s="62">
        <f t="shared" si="36"/>
        <v>372507</v>
      </c>
      <c r="AF171" s="62">
        <f t="shared" si="36"/>
        <v>566769</v>
      </c>
      <c r="AG171" s="62">
        <f t="shared" si="36"/>
        <v>767111</v>
      </c>
      <c r="AH171" s="62">
        <f t="shared" si="36"/>
        <v>203145</v>
      </c>
      <c r="AI171" s="62">
        <f>AI69</f>
        <v>412613</v>
      </c>
      <c r="AJ171" s="62">
        <f t="shared" si="36"/>
        <v>627651</v>
      </c>
      <c r="AK171" s="62">
        <f t="shared" si="36"/>
        <v>849879</v>
      </c>
      <c r="AL171" s="62">
        <f t="shared" si="36"/>
        <v>216836</v>
      </c>
      <c r="AM171" s="62">
        <f>AM69</f>
        <v>437295</v>
      </c>
      <c r="AN171" s="62">
        <f t="shared" si="36"/>
        <v>656988</v>
      </c>
      <c r="AO171" s="62">
        <f t="shared" si="36"/>
        <v>871779</v>
      </c>
      <c r="AP171" s="62">
        <f t="shared" si="36"/>
        <v>200475</v>
      </c>
      <c r="AQ171" s="62">
        <f t="shared" si="36"/>
        <v>395228</v>
      </c>
      <c r="AR171" s="62">
        <f t="shared" si="36"/>
        <v>590694</v>
      </c>
      <c r="AS171" s="62">
        <f t="shared" si="36"/>
        <v>791480</v>
      </c>
      <c r="AT171" s="62">
        <f t="shared" si="36"/>
        <v>203987</v>
      </c>
    </row>
    <row r="172" spans="2:46" ht="13.5" x14ac:dyDescent="0.4">
      <c r="B172" s="117"/>
      <c r="C172" s="120" t="s">
        <v>177</v>
      </c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5"/>
      <c r="Z172" s="146"/>
      <c r="AA172" s="146"/>
      <c r="AB172" s="146"/>
      <c r="AC172" s="146">
        <f>AC173+AC176+15118</f>
        <v>519852</v>
      </c>
      <c r="AD172" s="146"/>
      <c r="AE172" s="146"/>
      <c r="AF172" s="146"/>
      <c r="AG172" s="146">
        <f>AG173+AG176+18714</f>
        <v>548640</v>
      </c>
      <c r="AH172" s="146"/>
      <c r="AI172" s="146">
        <f>AI173+AI176+12596</f>
        <v>297753</v>
      </c>
      <c r="AJ172" s="146"/>
      <c r="AK172" s="146">
        <f>AK173+AK176+26645</f>
        <v>615488</v>
      </c>
      <c r="AL172" s="146"/>
      <c r="AM172" s="146">
        <f>AM173+AM176+14730</f>
        <v>311862</v>
      </c>
      <c r="AN172" s="146"/>
      <c r="AO172" s="146">
        <f>AO173+AO176+30755</f>
        <v>616541</v>
      </c>
      <c r="AP172" s="146"/>
      <c r="AQ172" s="146">
        <f>AQ173+AQ176+16544</f>
        <v>270749</v>
      </c>
      <c r="AR172" s="146"/>
      <c r="AS172" s="146">
        <f>AS173+AS176+35502</f>
        <v>538219</v>
      </c>
      <c r="AT172" s="146"/>
    </row>
    <row r="173" spans="2:46" ht="13.15" x14ac:dyDescent="0.35">
      <c r="B173" s="99"/>
      <c r="C173" s="124" t="s">
        <v>178</v>
      </c>
      <c r="E173" s="147">
        <f t="shared" ref="E173:AR173" si="37">E174+E175</f>
        <v>0</v>
      </c>
      <c r="F173" s="147">
        <f t="shared" si="37"/>
        <v>0</v>
      </c>
      <c r="G173" s="147">
        <f t="shared" si="37"/>
        <v>0</v>
      </c>
      <c r="H173" s="147">
        <f t="shared" si="37"/>
        <v>0</v>
      </c>
      <c r="I173" s="147">
        <f t="shared" si="37"/>
        <v>188784</v>
      </c>
      <c r="J173" s="147">
        <f t="shared" si="37"/>
        <v>0</v>
      </c>
      <c r="K173" s="147">
        <f t="shared" si="37"/>
        <v>116892</v>
      </c>
      <c r="L173" s="147">
        <f t="shared" si="37"/>
        <v>0</v>
      </c>
      <c r="M173" s="147">
        <f t="shared" si="37"/>
        <v>242175</v>
      </c>
      <c r="N173" s="147">
        <f t="shared" si="37"/>
        <v>0</v>
      </c>
      <c r="O173" s="147">
        <f t="shared" si="37"/>
        <v>6054</v>
      </c>
      <c r="P173" s="147">
        <f t="shared" si="37"/>
        <v>0</v>
      </c>
      <c r="Q173" s="147">
        <f t="shared" si="37"/>
        <v>223709</v>
      </c>
      <c r="R173" s="147">
        <f t="shared" si="37"/>
        <v>0</v>
      </c>
      <c r="S173" s="147">
        <f t="shared" si="37"/>
        <v>114674</v>
      </c>
      <c r="T173" s="147">
        <f t="shared" si="37"/>
        <v>0</v>
      </c>
      <c r="U173" s="147">
        <f t="shared" si="37"/>
        <v>237634</v>
      </c>
      <c r="V173" s="147">
        <f t="shared" si="37"/>
        <v>0</v>
      </c>
      <c r="W173" s="147">
        <f t="shared" si="37"/>
        <v>139471</v>
      </c>
      <c r="X173" s="147">
        <f t="shared" si="37"/>
        <v>0</v>
      </c>
      <c r="Y173" s="147">
        <f t="shared" si="37"/>
        <v>304593</v>
      </c>
      <c r="Z173" s="147">
        <f t="shared" si="37"/>
        <v>0</v>
      </c>
      <c r="AA173" s="147">
        <f t="shared" si="37"/>
        <v>183912</v>
      </c>
      <c r="AB173" s="147">
        <f t="shared" si="37"/>
        <v>0</v>
      </c>
      <c r="AC173" s="147">
        <f t="shared" si="37"/>
        <v>378959</v>
      </c>
      <c r="AD173" s="147">
        <f t="shared" si="37"/>
        <v>0</v>
      </c>
      <c r="AE173" s="147">
        <f t="shared" si="37"/>
        <v>190237</v>
      </c>
      <c r="AF173" s="147">
        <f t="shared" si="37"/>
        <v>0</v>
      </c>
      <c r="AG173" s="147">
        <f t="shared" si="37"/>
        <v>389318</v>
      </c>
      <c r="AH173" s="147">
        <f t="shared" si="37"/>
        <v>0</v>
      </c>
      <c r="AI173" s="147">
        <f t="shared" si="37"/>
        <v>207102</v>
      </c>
      <c r="AJ173" s="147">
        <f t="shared" si="37"/>
        <v>0</v>
      </c>
      <c r="AK173" s="147">
        <f t="shared" si="37"/>
        <v>426497</v>
      </c>
      <c r="AL173" s="147">
        <f t="shared" si="37"/>
        <v>0</v>
      </c>
      <c r="AM173" s="147">
        <f t="shared" si="37"/>
        <v>214174</v>
      </c>
      <c r="AN173" s="147">
        <f t="shared" si="37"/>
        <v>0</v>
      </c>
      <c r="AO173" s="147">
        <f t="shared" si="37"/>
        <v>413892</v>
      </c>
      <c r="AP173" s="147">
        <f t="shared" si="37"/>
        <v>0</v>
      </c>
      <c r="AQ173" s="147">
        <f t="shared" si="37"/>
        <v>178055</v>
      </c>
      <c r="AR173" s="147">
        <f t="shared" si="37"/>
        <v>0</v>
      </c>
      <c r="AS173" s="147">
        <f>AS174+AS175</f>
        <v>346059</v>
      </c>
      <c r="AT173" s="147"/>
    </row>
    <row r="174" spans="2:46" ht="13.15" x14ac:dyDescent="0.35">
      <c r="B174" s="99"/>
      <c r="C174" s="124" t="s">
        <v>179</v>
      </c>
      <c r="E174" s="148">
        <f>[2]!s_stmnote_bank_721($C$6,E6,1,2,1000000)</f>
        <v>0</v>
      </c>
      <c r="F174" s="148">
        <f>[2]!s_stmnote_bank_721($C$6,F6,1,2,1000000)</f>
        <v>0</v>
      </c>
      <c r="G174" s="148">
        <f>[2]!s_stmnote_bank_721($C$6,G6,1,2,1000000)</f>
        <v>0</v>
      </c>
      <c r="H174" s="148">
        <f>[2]!s_stmnote_bank_721($C$6,H6,1,2,1000000)</f>
        <v>0</v>
      </c>
      <c r="I174" s="148">
        <f>[2]!s_stmnote_bank_721($C$6,I6,1,2,1000000)</f>
        <v>174441</v>
      </c>
      <c r="J174" s="148">
        <f>[2]!s_stmnote_bank_721($C$6,J6,1,2,1000000)</f>
        <v>0</v>
      </c>
      <c r="K174" s="148">
        <f>[2]!s_stmnote_bank_721($C$6,K6,1,2,1000000)</f>
        <v>108880</v>
      </c>
      <c r="L174" s="148">
        <f>[2]!s_stmnote_bank_721($C$6,L6,1,2,1000000)</f>
        <v>0</v>
      </c>
      <c r="M174" s="148">
        <f>[2]!s_stmnote_bank_721($C$6,M6,1,2,1000000)</f>
        <v>226646</v>
      </c>
      <c r="N174" s="148">
        <f>[2]!s_stmnote_bank_721($C$6,N6,1,2,1000000)</f>
        <v>0</v>
      </c>
      <c r="O174" s="148">
        <f>[2]!s_stmnote_bank_721($C$6,O6,1,2,1000000)</f>
        <v>0</v>
      </c>
      <c r="P174" s="148">
        <f>[2]!s_stmnote_bank_721($C$6,P6,1,2,1000000)</f>
        <v>0</v>
      </c>
      <c r="Q174" s="148">
        <f>[2]!s_stmnote_bank_721($C$6,Q6,1,2,1000000)</f>
        <v>213084</v>
      </c>
      <c r="R174" s="148">
        <f>[2]!s_stmnote_bank_721($C$6,R6,1,2,1000000)</f>
        <v>0</v>
      </c>
      <c r="S174" s="148">
        <f>[2]!s_stmnote_bank_721($C$6,S6,1,2,1000000)</f>
        <v>110729</v>
      </c>
      <c r="T174" s="148">
        <f>[2]!s_stmnote_bank_721($C$6,T6,1,2,1000000)</f>
        <v>0</v>
      </c>
      <c r="U174" s="148">
        <f>[2]!s_stmnote_bank_721($C$6,U6,1,2,1000000)</f>
        <v>230183</v>
      </c>
      <c r="V174" s="148">
        <f>[2]!s_stmnote_bank_721($C$6,V6,1,2,1000000)</f>
        <v>0</v>
      </c>
      <c r="W174" s="148">
        <f>[2]!s_stmnote_bank_721($C$6,W6,1,2,1000000)</f>
        <v>135258</v>
      </c>
      <c r="X174" s="148">
        <f>[2]!s_stmnote_bank_721($C$6,X6,1,2,1000000)</f>
        <v>0</v>
      </c>
      <c r="Y174" s="148">
        <f>[2]!s_stmnote_bank_721($C$6,Y6,1,2,1000000)</f>
        <v>294291</v>
      </c>
      <c r="Z174" s="148">
        <f>[2]!s_stmnote_bank_721($C$6,Z6,1,2,1000000)</f>
        <v>0</v>
      </c>
      <c r="AA174" s="148">
        <f>[2]!s_stmnote_bank_721($C$6,AA6,1,2,1000000)</f>
        <v>176289</v>
      </c>
      <c r="AB174" s="148">
        <f>[2]!s_stmnote_bank_721($C$6,AB6,1,2,1000000)</f>
        <v>0</v>
      </c>
      <c r="AC174" s="148">
        <f>[2]!s_stmnote_bank_721($C$6,AC6,1,2,1000000)</f>
        <v>364464</v>
      </c>
      <c r="AD174" s="148">
        <f>[2]!s_stmnote_bank_721($C$6,AD6,1,2,1000000)</f>
        <v>0</v>
      </c>
      <c r="AE174" s="148">
        <f>[2]!s_stmnote_bank_721($C$6,AE6,1,2,1000000)</f>
        <v>185025</v>
      </c>
      <c r="AF174" s="148">
        <f>[2]!s_stmnote_bank_721($C$6,AF6,1,2,1000000)</f>
        <v>0</v>
      </c>
      <c r="AG174" s="148">
        <f>[2]!s_stmnote_bank_721($C$6,AG6,1,2,1000000)</f>
        <v>378988</v>
      </c>
      <c r="AH174" s="148">
        <f>[2]!s_stmnote_bank_721($C$6,AH6,1,2,1000000)</f>
        <v>0</v>
      </c>
      <c r="AI174" s="148">
        <f>[2]!s_stmnote_bank_721($C$6,AI6,1,2,1000000)</f>
        <v>202508</v>
      </c>
      <c r="AJ174" s="148">
        <f>[2]!s_stmnote_bank_721($C$6,AJ6,1,2,1000000)</f>
        <v>0</v>
      </c>
      <c r="AK174" s="148">
        <f>[2]!s_stmnote_bank_721($C$6,AK6,1,2,1000000)</f>
        <v>413751</v>
      </c>
      <c r="AL174" s="148">
        <f>[2]!s_stmnote_bank_721($C$6,AL6,1,2,1000000)</f>
        <v>0</v>
      </c>
      <c r="AM174" s="148">
        <f>[2]!s_stmnote_bank_721($C$6,AM6,1,2,1000000)</f>
        <v>204597</v>
      </c>
      <c r="AN174" s="148">
        <f>[2]!s_stmnote_bank_721($C$6,AN6,1,2,1000000)</f>
        <v>0</v>
      </c>
      <c r="AO174" s="148">
        <f>[2]!s_stmnote_bank_721($C$6,AO6,1,2,1000000)</f>
        <v>394299</v>
      </c>
      <c r="AP174" s="148">
        <f>[2]!s_stmnote_bank_721($C$6,AP6,1,2,1000000)</f>
        <v>0</v>
      </c>
      <c r="AQ174" s="148">
        <f>[2]!s_stmnote_bank_721($C$6,AQ6,1,2,1000000)</f>
        <v>167945</v>
      </c>
      <c r="AR174" s="148">
        <f>[2]!s_stmnote_bank_721($C$6,AR6,1,2,1000000)</f>
        <v>0</v>
      </c>
      <c r="AS174" s="148">
        <f>[2]!s_stmnote_bank_721($C$6,AS6,1,2,1000000)</f>
        <v>323952</v>
      </c>
      <c r="AT174" s="132"/>
    </row>
    <row r="175" spans="2:46" ht="13.15" x14ac:dyDescent="0.35">
      <c r="B175" s="116"/>
      <c r="C175" s="124" t="s">
        <v>150</v>
      </c>
      <c r="E175" s="68">
        <f>[2]!s_stmnote_bank_723($C$6,E6,1,2,1000000)</f>
        <v>0</v>
      </c>
      <c r="F175" s="68">
        <f>[2]!s_stmnote_bank_723($C$6,F6,1,2,1000000)</f>
        <v>0</v>
      </c>
      <c r="G175" s="68">
        <f>[2]!s_stmnote_bank_723($C$6,G6,1,2,1000000)</f>
        <v>0</v>
      </c>
      <c r="H175" s="68">
        <f>[2]!s_stmnote_bank_723($C$6,H6,1,2,1000000)</f>
        <v>0</v>
      </c>
      <c r="I175" s="68">
        <f>[2]!s_stmnote_bank_723($C$6,I6,1,2,1000000)</f>
        <v>14343</v>
      </c>
      <c r="J175" s="68">
        <f>[2]!s_stmnote_bank_723($C$6,J6,1,2,1000000)</f>
        <v>0</v>
      </c>
      <c r="K175" s="68">
        <f>[2]!s_stmnote_bank_723($C$6,K6,1,2,1000000)</f>
        <v>8012</v>
      </c>
      <c r="L175" s="68">
        <f>[2]!s_stmnote_bank_723($C$6,L6,1,2,1000000)</f>
        <v>0</v>
      </c>
      <c r="M175" s="68">
        <f>[2]!s_stmnote_bank_723($C$6,M6,1,2,1000000)</f>
        <v>15529</v>
      </c>
      <c r="N175" s="68">
        <f>[2]!s_stmnote_bank_723($C$6,N6,1,2,1000000)</f>
        <v>0</v>
      </c>
      <c r="O175" s="68">
        <f>[2]!s_stmnote_bank_723($C$6,O6,1,2,1000000)</f>
        <v>6054</v>
      </c>
      <c r="P175" s="68">
        <f>[2]!s_stmnote_bank_723($C$6,P6,1,2,1000000)</f>
        <v>0</v>
      </c>
      <c r="Q175" s="68">
        <f>[2]!s_stmnote_bank_723($C$6,Q6,1,2,1000000)</f>
        <v>10625</v>
      </c>
      <c r="R175" s="68">
        <f>[2]!s_stmnote_bank_723($C$6,R6,1,2,1000000)</f>
        <v>0</v>
      </c>
      <c r="S175" s="68">
        <f>[2]!s_stmnote_bank_723($C$6,S6,1,2,1000000)</f>
        <v>3945</v>
      </c>
      <c r="T175" s="68">
        <f>[2]!s_stmnote_bank_723($C$6,T6,1,2,1000000)</f>
        <v>0</v>
      </c>
      <c r="U175" s="68">
        <f>[2]!s_stmnote_bank_723($C$6,U6,1,2,1000000)</f>
        <v>7451</v>
      </c>
      <c r="V175" s="68">
        <f>[2]!s_stmnote_bank_723($C$6,V6,1,2,1000000)</f>
        <v>0</v>
      </c>
      <c r="W175" s="68">
        <f>[2]!s_stmnote_bank_723($C$6,W6,1,2,1000000)</f>
        <v>4213</v>
      </c>
      <c r="X175" s="68">
        <f>[2]!s_stmnote_bank_723($C$6,X6,1,2,1000000)</f>
        <v>0</v>
      </c>
      <c r="Y175" s="68">
        <f>[2]!s_stmnote_bank_723($C$6,Y6,1,2,1000000)</f>
        <v>10302</v>
      </c>
      <c r="Z175" s="68">
        <f>[2]!s_stmnote_bank_723($C$6,Z6,1,2,1000000)</f>
        <v>0</v>
      </c>
      <c r="AA175" s="68">
        <f>[2]!s_stmnote_bank_723($C$6,AA6,1,2,1000000)</f>
        <v>7623</v>
      </c>
      <c r="AB175" s="68">
        <f>[2]!s_stmnote_bank_723($C$6,AB6,1,2,1000000)</f>
        <v>0</v>
      </c>
      <c r="AC175" s="68">
        <f>[2]!s_stmnote_bank_723($C$6,AC6,1,2,1000000)</f>
        <v>14495</v>
      </c>
      <c r="AD175" s="68">
        <f>[2]!s_stmnote_bank_723($C$6,AD6,1,2,1000000)</f>
        <v>0</v>
      </c>
      <c r="AE175" s="68">
        <f>[2]!s_stmnote_bank_723($C$6,AE6,1,2,1000000)</f>
        <v>5212</v>
      </c>
      <c r="AF175" s="68">
        <f>[2]!s_stmnote_bank_723($C$6,AF6,1,2,1000000)</f>
        <v>0</v>
      </c>
      <c r="AG175" s="68">
        <f>[2]!s_stmnote_bank_723($C$6,AG6,1,2,1000000)</f>
        <v>10330</v>
      </c>
      <c r="AH175" s="68">
        <f>[2]!s_stmnote_bank_723($C$6,AH6,1,2,1000000)</f>
        <v>0</v>
      </c>
      <c r="AI175" s="68">
        <f>[2]!s_stmnote_bank_723($C$6,AI6,1,2,1000000)</f>
        <v>4594</v>
      </c>
      <c r="AJ175" s="68">
        <f>[2]!s_stmnote_bank_723($C$6,AJ6,1,2,1000000)</f>
        <v>0</v>
      </c>
      <c r="AK175" s="68">
        <f>[2]!s_stmnote_bank_723($C$6,AK6,1,2,1000000)</f>
        <v>12746</v>
      </c>
      <c r="AL175" s="68">
        <f>[2]!s_stmnote_bank_723($C$6,AL6,1,2,1000000)</f>
        <v>0</v>
      </c>
      <c r="AM175" s="68">
        <f>[2]!s_stmnote_bank_723($C$6,AM6,1,2,1000000)</f>
        <v>9577</v>
      </c>
      <c r="AN175" s="68">
        <f>[2]!s_stmnote_bank_723($C$6,AN6,1,2,1000000)</f>
        <v>0</v>
      </c>
      <c r="AO175" s="68">
        <f>[2]!s_stmnote_bank_723($C$6,AO6,1,2,1000000)</f>
        <v>19593</v>
      </c>
      <c r="AP175" s="68">
        <f>[2]!s_stmnote_bank_723($C$6,AP6,1,2,1000000)</f>
        <v>0</v>
      </c>
      <c r="AQ175" s="68">
        <f>[2]!s_stmnote_bank_723($C$6,AQ6,1,2,1000000)</f>
        <v>10110</v>
      </c>
      <c r="AR175" s="68">
        <f>[2]!s_stmnote_bank_723($C$6,AR6,1,2,1000000)</f>
        <v>0</v>
      </c>
      <c r="AS175" s="68">
        <f>[2]!s_stmnote_bank_723($C$6,AS6,1,2,1000000)</f>
        <v>22107</v>
      </c>
      <c r="AT175" s="63"/>
    </row>
    <row r="176" spans="2:46" ht="13.15" x14ac:dyDescent="0.35">
      <c r="B176" s="116"/>
      <c r="C176" s="125" t="s">
        <v>151</v>
      </c>
      <c r="E176" s="68">
        <f>[2]!s_stmnote_bank_722($C$6,E6,1,2,1000000)</f>
        <v>0</v>
      </c>
      <c r="F176" s="68">
        <f>[2]!s_stmnote_bank_722($C$6,F6,1,2,1000000)</f>
        <v>0</v>
      </c>
      <c r="G176" s="68">
        <f>[2]!s_stmnote_bank_722($C$6,G6,1,2,1000000)</f>
        <v>0</v>
      </c>
      <c r="H176" s="68">
        <f>[2]!s_stmnote_bank_722($C$6,H6,1,2,1000000)</f>
        <v>0</v>
      </c>
      <c r="I176" s="68">
        <f>[2]!s_stmnote_bank_722($C$6,I6,1,2,1000000)</f>
        <v>41869</v>
      </c>
      <c r="J176" s="68">
        <f>[2]!s_stmnote_bank_722($C$6,J6,1,2,1000000)</f>
        <v>0</v>
      </c>
      <c r="K176" s="68">
        <f>[2]!s_stmnote_bank_722($C$6,K6,1,2,1000000)</f>
        <v>27730</v>
      </c>
      <c r="L176" s="68">
        <f>[2]!s_stmnote_bank_722($C$6,L6,1,2,1000000)</f>
        <v>0</v>
      </c>
      <c r="M176" s="68">
        <f>[2]!s_stmnote_bank_722($C$6,M6,1,2,1000000)</f>
        <v>56776</v>
      </c>
      <c r="N176" s="68">
        <f>[2]!s_stmnote_bank_722($C$6,N6,1,2,1000000)</f>
        <v>0</v>
      </c>
      <c r="O176" s="68">
        <f>[2]!s_stmnote_bank_722($C$6,O6,1,2,1000000)</f>
        <v>0</v>
      </c>
      <c r="P176" s="68">
        <f>[2]!s_stmnote_bank_722($C$6,P6,1,2,1000000)</f>
        <v>0</v>
      </c>
      <c r="Q176" s="68">
        <f>[2]!s_stmnote_bank_722($C$6,Q6,1,2,1000000)</f>
        <v>48445</v>
      </c>
      <c r="R176" s="68">
        <f>[2]!s_stmnote_bank_722($C$6,R6,1,2,1000000)</f>
        <v>0</v>
      </c>
      <c r="S176" s="68">
        <f>[2]!s_stmnote_bank_722($C$6,S6,1,2,1000000)</f>
        <v>32049</v>
      </c>
      <c r="T176" s="68">
        <f>[2]!s_stmnote_bank_722($C$6,T6,1,2,1000000)</f>
        <v>0</v>
      </c>
      <c r="U176" s="68">
        <f>[2]!s_stmnote_bank_722($C$6,U6,1,2,1000000)</f>
        <v>69229</v>
      </c>
      <c r="V176" s="68">
        <f>[2]!s_stmnote_bank_722($C$6,V6,1,2,1000000)</f>
        <v>0</v>
      </c>
      <c r="W176" s="68">
        <f>[2]!s_stmnote_bank_722($C$6,W6,1,2,1000000)</f>
        <v>44829</v>
      </c>
      <c r="X176" s="68">
        <f>[2]!s_stmnote_bank_722($C$6,X6,1,2,1000000)</f>
        <v>0</v>
      </c>
      <c r="Y176" s="68">
        <f>[2]!s_stmnote_bank_722($C$6,Y6,1,2,1000000)</f>
        <v>96736</v>
      </c>
      <c r="Z176" s="68">
        <f>[2]!s_stmnote_bank_722($C$6,Z6,1,2,1000000)</f>
        <v>0</v>
      </c>
      <c r="AA176" s="68">
        <f>[2]!s_stmnote_bank_722($C$6,AA6,1,2,1000000)</f>
        <v>60990</v>
      </c>
      <c r="AB176" s="68">
        <f>[2]!s_stmnote_bank_722($C$6,AB6,1,2,1000000)</f>
        <v>0</v>
      </c>
      <c r="AC176" s="68">
        <f>[2]!s_stmnote_bank_722($C$6,AC6,1,2,1000000)</f>
        <v>125775</v>
      </c>
      <c r="AD176" s="68">
        <f>[2]!s_stmnote_bank_722($C$6,AD6,1,2,1000000)</f>
        <v>0</v>
      </c>
      <c r="AE176" s="68">
        <f>[2]!s_stmnote_bank_722($C$6,AE6,1,2,1000000)</f>
        <v>66741</v>
      </c>
      <c r="AF176" s="68">
        <f>[2]!s_stmnote_bank_722($C$6,AF6,1,2,1000000)</f>
        <v>0</v>
      </c>
      <c r="AG176" s="68">
        <f>[2]!s_stmnote_bank_722($C$6,AG6,1,2,1000000)</f>
        <v>140608</v>
      </c>
      <c r="AH176" s="68">
        <f>[2]!s_stmnote_bank_722($C$6,AH6,1,2,1000000)</f>
        <v>0</v>
      </c>
      <c r="AI176" s="68">
        <f>[2]!s_stmnote_bank_722($C$6,AI6,1,2,1000000)</f>
        <v>78055</v>
      </c>
      <c r="AJ176" s="68">
        <f>[2]!s_stmnote_bank_722($C$6,AJ6,1,2,1000000)</f>
        <v>0</v>
      </c>
      <c r="AK176" s="68">
        <f>[2]!s_stmnote_bank_722($C$6,AK6,1,2,1000000)</f>
        <v>162346</v>
      </c>
      <c r="AL176" s="68">
        <f>[2]!s_stmnote_bank_722($C$6,AL6,1,2,1000000)</f>
        <v>0</v>
      </c>
      <c r="AM176" s="68">
        <f>[2]!s_stmnote_bank_722($C$6,AM6,1,2,1000000)</f>
        <v>82958</v>
      </c>
      <c r="AN176" s="68">
        <f>[2]!s_stmnote_bank_722($C$6,AN6,1,2,1000000)</f>
        <v>0</v>
      </c>
      <c r="AO176" s="68">
        <f>[2]!s_stmnote_bank_722($C$6,AO6,1,2,1000000)</f>
        <v>171894</v>
      </c>
      <c r="AP176" s="68">
        <f>[2]!s_stmnote_bank_722($C$6,AP6,1,2,1000000)</f>
        <v>0</v>
      </c>
      <c r="AQ176" s="68">
        <f>[2]!s_stmnote_bank_722($C$6,AQ6,1,2,1000000)</f>
        <v>76150</v>
      </c>
      <c r="AR176" s="68">
        <f>[2]!s_stmnote_bank_722($C$6,AR6,1,2,1000000)</f>
        <v>0</v>
      </c>
      <c r="AS176" s="68">
        <f>[2]!s_stmnote_bank_722($C$6,AS6,1,2,1000000)</f>
        <v>156658</v>
      </c>
      <c r="AT176" s="77"/>
    </row>
    <row r="177" spans="2:46" ht="13.15" x14ac:dyDescent="0.35">
      <c r="B177" s="116"/>
      <c r="C177" s="126" t="s">
        <v>152</v>
      </c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127"/>
      <c r="V177" s="127"/>
      <c r="W177" s="127"/>
      <c r="X177" s="127"/>
      <c r="Y177" s="127"/>
      <c r="Z177" s="127"/>
      <c r="AA177" s="127"/>
      <c r="AB177" s="127"/>
      <c r="AC177" s="127">
        <v>138159</v>
      </c>
      <c r="AD177" s="127"/>
      <c r="AE177" s="127"/>
      <c r="AF177" s="127"/>
      <c r="AG177" s="127">
        <v>148514</v>
      </c>
      <c r="AH177" s="127"/>
      <c r="AI177" s="127">
        <v>77490</v>
      </c>
      <c r="AJ177" s="127"/>
      <c r="AK177" s="127">
        <v>159262</v>
      </c>
      <c r="AL177" s="127"/>
      <c r="AM177" s="127">
        <v>82664</v>
      </c>
      <c r="AN177" s="127"/>
      <c r="AO177" s="127">
        <v>170833</v>
      </c>
      <c r="AP177" s="127"/>
      <c r="AQ177" s="127">
        <v>87675</v>
      </c>
      <c r="AR177" s="127"/>
      <c r="AS177" s="127">
        <v>177298</v>
      </c>
      <c r="AT177" s="127"/>
    </row>
    <row r="178" spans="2:46" ht="13.15" x14ac:dyDescent="0.35">
      <c r="B178" s="116"/>
      <c r="C178" s="124" t="s">
        <v>153</v>
      </c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</row>
    <row r="179" spans="2:46" ht="13.15" x14ac:dyDescent="0.35">
      <c r="B179" s="116"/>
      <c r="C179" s="124" t="s">
        <v>154</v>
      </c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</row>
    <row r="180" spans="2:46" ht="13.15" x14ac:dyDescent="0.35">
      <c r="B180" s="116"/>
      <c r="C180" s="128" t="s">
        <v>155</v>
      </c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</row>
    <row r="181" spans="2:46" ht="13.15" x14ac:dyDescent="0.35">
      <c r="B181" s="116"/>
      <c r="C181" s="125" t="s">
        <v>156</v>
      </c>
      <c r="E181" s="129"/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J181" s="129"/>
      <c r="AK181" s="129"/>
      <c r="AL181" s="129"/>
      <c r="AM181" s="129"/>
      <c r="AN181" s="129"/>
      <c r="AO181" s="129"/>
      <c r="AP181" s="129"/>
      <c r="AQ181" s="129"/>
      <c r="AR181" s="129"/>
      <c r="AS181" s="129"/>
      <c r="AT181" s="129"/>
    </row>
    <row r="182" spans="2:46" ht="13.15" x14ac:dyDescent="0.35">
      <c r="B182" s="116"/>
      <c r="C182" s="126" t="s">
        <v>157</v>
      </c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  <c r="Y182" s="130"/>
      <c r="Z182" s="130"/>
      <c r="AA182" s="130"/>
      <c r="AB182" s="130"/>
      <c r="AC182" s="130">
        <v>41766</v>
      </c>
      <c r="AD182" s="130"/>
      <c r="AE182" s="130"/>
      <c r="AF182" s="130"/>
      <c r="AG182" s="130">
        <v>45487</v>
      </c>
      <c r="AH182" s="130"/>
      <c r="AI182" s="130">
        <v>23695</v>
      </c>
      <c r="AJ182" s="130"/>
      <c r="AK182" s="130">
        <v>48384</v>
      </c>
      <c r="AL182" s="130"/>
      <c r="AM182" s="130">
        <v>24538</v>
      </c>
      <c r="AN182" s="130"/>
      <c r="AO182" s="130">
        <v>47867</v>
      </c>
      <c r="AP182" s="130"/>
      <c r="AQ182" s="130">
        <v>21730</v>
      </c>
      <c r="AR182" s="130"/>
      <c r="AS182" s="130">
        <v>44678</v>
      </c>
      <c r="AT182" s="130"/>
    </row>
    <row r="183" spans="2:46" ht="13.5" x14ac:dyDescent="0.4">
      <c r="B183" s="116"/>
      <c r="C183" s="120" t="s">
        <v>158</v>
      </c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9"/>
      <c r="AB183" s="144"/>
      <c r="AC183" s="144">
        <v>21662</v>
      </c>
      <c r="AD183" s="144"/>
      <c r="AE183" s="149"/>
      <c r="AF183" s="144"/>
      <c r="AG183" s="144">
        <v>24470</v>
      </c>
      <c r="AH183" s="144"/>
      <c r="AI183" s="144">
        <v>13675</v>
      </c>
      <c r="AJ183" s="144"/>
      <c r="AK183" s="144">
        <v>26745</v>
      </c>
      <c r="AL183" s="144"/>
      <c r="AM183" s="144">
        <v>18231</v>
      </c>
      <c r="AN183" s="144"/>
      <c r="AO183" s="144">
        <v>36538</v>
      </c>
      <c r="AP183" s="144"/>
      <c r="AQ183" s="144">
        <v>15074</v>
      </c>
      <c r="AR183" s="144"/>
      <c r="AS183" s="144">
        <v>31285.000000000004</v>
      </c>
      <c r="AT183" s="144"/>
    </row>
    <row r="184" spans="2:46" ht="13.15" x14ac:dyDescent="0.35">
      <c r="B184" s="116"/>
      <c r="C184" s="124" t="s">
        <v>159</v>
      </c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</row>
    <row r="185" spans="2:46" ht="13.15" x14ac:dyDescent="0.35">
      <c r="B185" s="116"/>
      <c r="C185" s="124" t="s">
        <v>42</v>
      </c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</row>
    <row r="186" spans="2:46" ht="13.15" x14ac:dyDescent="0.35">
      <c r="B186" s="116"/>
      <c r="C186" s="125" t="s">
        <v>160</v>
      </c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</row>
    <row r="187" spans="2:46" ht="13.5" thickBot="1" x14ac:dyDescent="0.4">
      <c r="B187" s="116"/>
      <c r="C187" s="133" t="s">
        <v>180</v>
      </c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  <c r="AT187" s="134"/>
    </row>
    <row r="188" spans="2:46" s="58" customFormat="1" ht="13.15" x14ac:dyDescent="0.35">
      <c r="B188" s="150"/>
      <c r="C188" s="57" t="s">
        <v>91</v>
      </c>
      <c r="E188" s="59">
        <v>0</v>
      </c>
      <c r="F188" s="59">
        <v>0</v>
      </c>
      <c r="G188" s="59">
        <v>0</v>
      </c>
      <c r="H188" s="59">
        <v>0</v>
      </c>
      <c r="I188" s="59">
        <v>0</v>
      </c>
      <c r="J188" s="59">
        <v>0</v>
      </c>
      <c r="K188" s="59">
        <v>0</v>
      </c>
      <c r="L188" s="59">
        <v>0</v>
      </c>
      <c r="M188" s="59">
        <v>0</v>
      </c>
      <c r="N188" s="59">
        <v>0</v>
      </c>
      <c r="O188" s="59">
        <v>0</v>
      </c>
      <c r="P188" s="59">
        <v>0</v>
      </c>
      <c r="Q188" s="59">
        <v>0</v>
      </c>
      <c r="R188" s="59">
        <v>0</v>
      </c>
      <c r="S188" s="59">
        <v>0</v>
      </c>
      <c r="T188" s="59">
        <v>0</v>
      </c>
      <c r="U188" s="59">
        <v>0</v>
      </c>
      <c r="V188" s="59">
        <v>0</v>
      </c>
      <c r="W188" s="59">
        <v>0</v>
      </c>
      <c r="X188" s="59">
        <v>0</v>
      </c>
      <c r="Y188" s="59">
        <v>0</v>
      </c>
      <c r="Z188" s="59">
        <v>0</v>
      </c>
      <c r="AA188" s="59">
        <v>0</v>
      </c>
      <c r="AB188" s="59">
        <v>0</v>
      </c>
      <c r="AC188" s="59">
        <v>0</v>
      </c>
      <c r="AD188" s="59">
        <v>0</v>
      </c>
      <c r="AE188" s="59">
        <v>0</v>
      </c>
      <c r="AF188" s="59">
        <v>0</v>
      </c>
      <c r="AG188" s="59">
        <v>0</v>
      </c>
      <c r="AH188" s="59">
        <v>0</v>
      </c>
      <c r="AI188" s="59">
        <f>IF(AI172=0,0,AI171-AI172-AI177-AI182-AI183-AI187)</f>
        <v>0</v>
      </c>
      <c r="AJ188" s="59">
        <f t="shared" ref="AJ188:AR188" si="38">IF(AJ172=0,0,AJ171-AJ172-AJ177-AJ182-AJ183-AJ187)</f>
        <v>0</v>
      </c>
      <c r="AK188" s="59">
        <f t="shared" si="38"/>
        <v>0</v>
      </c>
      <c r="AL188" s="59">
        <f t="shared" si="38"/>
        <v>0</v>
      </c>
      <c r="AM188" s="59">
        <f>IF(AM172=0,0,AM171-AM172-AM177-AM182-AM183-AM187)</f>
        <v>0</v>
      </c>
      <c r="AN188" s="59">
        <f t="shared" si="38"/>
        <v>0</v>
      </c>
      <c r="AO188" s="59">
        <f t="shared" si="38"/>
        <v>0</v>
      </c>
      <c r="AP188" s="59">
        <f t="shared" si="38"/>
        <v>0</v>
      </c>
      <c r="AQ188" s="59">
        <f t="shared" si="38"/>
        <v>0</v>
      </c>
      <c r="AR188" s="59">
        <f t="shared" si="38"/>
        <v>0</v>
      </c>
      <c r="AS188" s="59">
        <f>IF(AS172=0,0,AS171-AS172-AS177-AS182-AS183-AS187)</f>
        <v>-3.637978807091713E-12</v>
      </c>
      <c r="AT188" s="59">
        <v>0</v>
      </c>
    </row>
    <row r="189" spans="2:46" ht="13.15" x14ac:dyDescent="0.35">
      <c r="B189" s="116"/>
      <c r="C189" s="114"/>
      <c r="AM189" s="24"/>
    </row>
    <row r="190" spans="2:46" ht="13.15" thickBot="1" x14ac:dyDescent="0.4">
      <c r="B190" s="135"/>
      <c r="C190" s="136"/>
      <c r="U190" s="24"/>
      <c r="V190" s="24"/>
      <c r="W190" s="24"/>
      <c r="X190" s="24"/>
      <c r="Y190" s="24"/>
      <c r="Z190" s="24"/>
      <c r="AA190" s="24"/>
      <c r="AB190" s="24"/>
      <c r="AC190" s="24">
        <f>AC192+AC200+AC201</f>
        <v>-303611</v>
      </c>
      <c r="AD190" s="24"/>
      <c r="AE190" s="24"/>
      <c r="AF190" s="24"/>
      <c r="AG190" s="24">
        <f>AG192+AG200+AG201</f>
        <v>-323776</v>
      </c>
      <c r="AH190" s="24"/>
      <c r="AI190" s="24">
        <f>AI192+AI200+AI201</f>
        <v>-175006</v>
      </c>
      <c r="AJ190" s="24"/>
      <c r="AK190" s="24">
        <f>AK192+AK200+AK201</f>
        <v>-356357</v>
      </c>
      <c r="AL190" s="24"/>
      <c r="AM190" s="24">
        <f>AM192+AM200+AM201</f>
        <v>-185208</v>
      </c>
      <c r="AN190" s="24"/>
      <c r="AO190" s="24">
        <f>AO192+AO200+AO201</f>
        <v>-363912</v>
      </c>
      <c r="AP190" s="24"/>
      <c r="AQ190" s="24">
        <f>AQ192+AQ200+AQ201</f>
        <v>-160948</v>
      </c>
      <c r="AR190" s="24"/>
      <c r="AS190" s="24">
        <f>AS192+AS200+AS201</f>
        <v>-319634</v>
      </c>
      <c r="AT190" s="24"/>
    </row>
    <row r="191" spans="2:46" ht="13.5" x14ac:dyDescent="0.4">
      <c r="B191" s="116"/>
      <c r="C191" s="137" t="s">
        <v>181</v>
      </c>
      <c r="E191" s="62">
        <f>E70</f>
        <v>-109823</v>
      </c>
      <c r="F191" s="62">
        <f t="shared" ref="F191:AT191" si="39">F70</f>
        <v>-30374</v>
      </c>
      <c r="G191" s="62">
        <f t="shared" si="39"/>
        <v>-61589</v>
      </c>
      <c r="H191" s="62">
        <f t="shared" si="39"/>
        <v>-96550</v>
      </c>
      <c r="I191" s="62">
        <f t="shared" si="39"/>
        <v>-132822</v>
      </c>
      <c r="J191" s="62">
        <f t="shared" si="39"/>
        <v>-39322</v>
      </c>
      <c r="K191" s="62">
        <f t="shared" si="39"/>
        <v>-83226</v>
      </c>
      <c r="L191" s="62">
        <f t="shared" si="39"/>
        <v>-130859</v>
      </c>
      <c r="M191" s="62">
        <f t="shared" si="39"/>
        <v>-177537</v>
      </c>
      <c r="N191" s="62">
        <f t="shared" si="39"/>
        <v>-42318</v>
      </c>
      <c r="O191" s="62">
        <f t="shared" si="39"/>
        <v>-83239</v>
      </c>
      <c r="P191" s="62">
        <f t="shared" si="39"/>
        <v>-122570</v>
      </c>
      <c r="Q191" s="62">
        <f t="shared" si="39"/>
        <v>-160057</v>
      </c>
      <c r="R191" s="62">
        <f t="shared" si="39"/>
        <v>-37635</v>
      </c>
      <c r="S191" s="62">
        <f t="shared" si="39"/>
        <v>-76553</v>
      </c>
      <c r="T191" s="62">
        <f t="shared" si="39"/>
        <v>-117155</v>
      </c>
      <c r="U191" s="62">
        <f t="shared" si="39"/>
        <v>-159013</v>
      </c>
      <c r="V191" s="62">
        <f t="shared" si="39"/>
        <v>-45517</v>
      </c>
      <c r="W191" s="62">
        <f t="shared" si="39"/>
        <v>-98215</v>
      </c>
      <c r="X191" s="62">
        <f t="shared" si="39"/>
        <v>-159100</v>
      </c>
      <c r="Y191" s="62">
        <f t="shared" si="39"/>
        <v>-226816</v>
      </c>
      <c r="Z191" s="62">
        <f t="shared" si="39"/>
        <v>-75532</v>
      </c>
      <c r="AA191" s="62">
        <f t="shared" si="39"/>
        <v>-150464</v>
      </c>
      <c r="AB191" s="62">
        <f t="shared" si="39"/>
        <v>-225948</v>
      </c>
      <c r="AC191" s="62">
        <f t="shared" si="39"/>
        <v>-303611</v>
      </c>
      <c r="AD191" s="62">
        <f t="shared" si="39"/>
        <v>-77586</v>
      </c>
      <c r="AE191" s="62">
        <f t="shared" si="39"/>
        <v>-156618</v>
      </c>
      <c r="AF191" s="62">
        <f t="shared" si="39"/>
        <v>-239133</v>
      </c>
      <c r="AG191" s="62">
        <f>AG70</f>
        <v>-323776</v>
      </c>
      <c r="AH191" s="62">
        <f t="shared" si="39"/>
        <v>-87320</v>
      </c>
      <c r="AI191" s="62">
        <f>AI70</f>
        <v>-175006</v>
      </c>
      <c r="AJ191" s="62">
        <f t="shared" si="39"/>
        <v>-264717</v>
      </c>
      <c r="AK191" s="62">
        <f>AK70</f>
        <v>-356357</v>
      </c>
      <c r="AL191" s="62">
        <f t="shared" si="39"/>
        <v>-91553</v>
      </c>
      <c r="AM191" s="62">
        <f t="shared" si="39"/>
        <v>-185208</v>
      </c>
      <c r="AN191" s="62">
        <f t="shared" si="39"/>
        <v>-277043</v>
      </c>
      <c r="AO191" s="62">
        <f t="shared" si="39"/>
        <v>-363912</v>
      </c>
      <c r="AP191" s="62">
        <f t="shared" si="39"/>
        <v>-81665</v>
      </c>
      <c r="AQ191" s="62">
        <f t="shared" si="39"/>
        <v>-160948</v>
      </c>
      <c r="AR191" s="62">
        <f t="shared" si="39"/>
        <v>-239336</v>
      </c>
      <c r="AS191" s="62">
        <f t="shared" si="39"/>
        <v>-319634</v>
      </c>
      <c r="AT191" s="62">
        <f t="shared" si="39"/>
        <v>-82017</v>
      </c>
    </row>
    <row r="192" spans="2:46" ht="13.15" x14ac:dyDescent="0.35">
      <c r="B192" s="116"/>
      <c r="C192" s="120" t="s">
        <v>163</v>
      </c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151">
        <f t="shared" ref="Q192:AP192" si="40">Q193+Q196</f>
        <v>-143823</v>
      </c>
      <c r="R192" s="151">
        <f t="shared" si="40"/>
        <v>0</v>
      </c>
      <c r="S192" s="151">
        <f t="shared" si="40"/>
        <v>-67181</v>
      </c>
      <c r="T192" s="151">
        <f t="shared" si="40"/>
        <v>0</v>
      </c>
      <c r="U192" s="151">
        <f t="shared" si="40"/>
        <v>-138565</v>
      </c>
      <c r="V192" s="151">
        <f t="shared" si="40"/>
        <v>0</v>
      </c>
      <c r="W192" s="151">
        <f t="shared" si="40"/>
        <v>-82781</v>
      </c>
      <c r="X192" s="151">
        <f t="shared" si="40"/>
        <v>0</v>
      </c>
      <c r="Y192" s="151">
        <f t="shared" si="40"/>
        <v>-185129</v>
      </c>
      <c r="Z192" s="151">
        <f t="shared" si="40"/>
        <v>0</v>
      </c>
      <c r="AA192" s="151">
        <f t="shared" si="40"/>
        <v>-117041</v>
      </c>
      <c r="AB192" s="151">
        <f t="shared" si="40"/>
        <v>0</v>
      </c>
      <c r="AC192" s="151">
        <f>AC193+AC196+AC199</f>
        <v>-249422</v>
      </c>
      <c r="AD192" s="151">
        <f t="shared" si="40"/>
        <v>0</v>
      </c>
      <c r="AE192" s="151">
        <f t="shared" si="40"/>
        <v>-129058</v>
      </c>
      <c r="AF192" s="151">
        <f t="shared" si="40"/>
        <v>0</v>
      </c>
      <c r="AG192" s="151">
        <f>AG193+AG196+AG199</f>
        <v>-273797</v>
      </c>
      <c r="AH192" s="151">
        <f t="shared" si="40"/>
        <v>0</v>
      </c>
      <c r="AI192" s="151">
        <f>AI193+AI196+AI199</f>
        <v>-146493</v>
      </c>
      <c r="AJ192" s="151">
        <f t="shared" si="40"/>
        <v>0</v>
      </c>
      <c r="AK192" s="151">
        <f>AK193+AK196+AK199</f>
        <v>-298941</v>
      </c>
      <c r="AL192" s="151">
        <f t="shared" si="40"/>
        <v>0</v>
      </c>
      <c r="AM192" s="151">
        <f>AM193+AM196+AM199</f>
        <v>-151971</v>
      </c>
      <c r="AN192" s="151">
        <f t="shared" si="40"/>
        <v>0</v>
      </c>
      <c r="AO192" s="151">
        <f>AO193+AO196+AO199</f>
        <v>-298010</v>
      </c>
      <c r="AP192" s="151">
        <f t="shared" si="40"/>
        <v>0</v>
      </c>
      <c r="AQ192" s="151">
        <f>AQ193+AQ196+AQ199</f>
        <v>-129967</v>
      </c>
      <c r="AR192" s="151">
        <f>AR193+AR196</f>
        <v>0</v>
      </c>
      <c r="AS192" s="151">
        <f>AS193+AS196+AS199</f>
        <v>-257850</v>
      </c>
      <c r="AT192" s="152"/>
    </row>
    <row r="193" spans="2:46" s="38" customFormat="1" ht="13.15" x14ac:dyDescent="0.35">
      <c r="B193" s="153"/>
      <c r="C193" s="154" t="s">
        <v>138</v>
      </c>
      <c r="Q193" s="155">
        <f t="shared" ref="Q193:AP193" si="41">Q194+Q195</f>
        <v>-24024</v>
      </c>
      <c r="R193" s="155">
        <f t="shared" si="41"/>
        <v>0</v>
      </c>
      <c r="S193" s="155">
        <f t="shared" si="41"/>
        <v>-13742</v>
      </c>
      <c r="T193" s="155">
        <f t="shared" si="41"/>
        <v>0</v>
      </c>
      <c r="U193" s="155">
        <f t="shared" si="41"/>
        <v>-28805</v>
      </c>
      <c r="V193" s="155">
        <f t="shared" si="41"/>
        <v>0</v>
      </c>
      <c r="W193" s="155">
        <f t="shared" si="41"/>
        <v>-18738</v>
      </c>
      <c r="X193" s="155">
        <f t="shared" si="41"/>
        <v>0</v>
      </c>
      <c r="Y193" s="155">
        <f t="shared" si="41"/>
        <v>-39981</v>
      </c>
      <c r="Z193" s="155">
        <f t="shared" si="41"/>
        <v>0</v>
      </c>
      <c r="AA193" s="155">
        <f t="shared" si="41"/>
        <v>-20866</v>
      </c>
      <c r="AB193" s="155">
        <f t="shared" si="41"/>
        <v>0</v>
      </c>
      <c r="AC193" s="155">
        <f t="shared" si="41"/>
        <v>-40033</v>
      </c>
      <c r="AD193" s="155">
        <f t="shared" si="41"/>
        <v>0</v>
      </c>
      <c r="AE193" s="155">
        <f t="shared" si="41"/>
        <v>-18143</v>
      </c>
      <c r="AF193" s="155">
        <f t="shared" si="41"/>
        <v>0</v>
      </c>
      <c r="AG193" s="155">
        <f t="shared" si="41"/>
        <v>-38338</v>
      </c>
      <c r="AH193" s="155">
        <f t="shared" si="41"/>
        <v>0</v>
      </c>
      <c r="AI193" s="155">
        <f t="shared" si="41"/>
        <v>-19602</v>
      </c>
      <c r="AJ193" s="155">
        <f t="shared" si="41"/>
        <v>0</v>
      </c>
      <c r="AK193" s="155">
        <f t="shared" si="41"/>
        <v>-40623</v>
      </c>
      <c r="AL193" s="155">
        <f t="shared" si="41"/>
        <v>0</v>
      </c>
      <c r="AM193" s="155">
        <f t="shared" si="41"/>
        <v>-20141</v>
      </c>
      <c r="AN193" s="155">
        <f t="shared" si="41"/>
        <v>0</v>
      </c>
      <c r="AO193" s="155">
        <f t="shared" si="41"/>
        <v>-40609</v>
      </c>
      <c r="AP193" s="155">
        <f t="shared" si="41"/>
        <v>0</v>
      </c>
      <c r="AQ193" s="155">
        <f>AQ194+AQ195</f>
        <v>-19377</v>
      </c>
      <c r="AR193" s="155">
        <f>AR194+AR195</f>
        <v>0</v>
      </c>
      <c r="AS193" s="155">
        <f>AS194+AS195</f>
        <v>-42452</v>
      </c>
      <c r="AT193" s="155"/>
    </row>
    <row r="194" spans="2:46" ht="13.15" x14ac:dyDescent="0.35">
      <c r="B194" s="116"/>
      <c r="C194" s="124" t="s">
        <v>164</v>
      </c>
      <c r="E194" s="63">
        <f>-[2]!s_stmnote_bank_634($C$6,E6,1,2,1000000)</f>
        <v>0</v>
      </c>
      <c r="F194" s="63">
        <f>-[2]!s_stmnote_bank_634($C$6,F6,1,2,1000000)</f>
        <v>0</v>
      </c>
      <c r="G194" s="63">
        <f>-[2]!s_stmnote_bank_634($C$6,G6,1,2,1000000)</f>
        <v>0</v>
      </c>
      <c r="H194" s="63">
        <f>-[2]!s_stmnote_bank_634($C$6,H6,1,2,1000000)</f>
        <v>0</v>
      </c>
      <c r="I194" s="63">
        <f>-[2]!s_stmnote_bank_634($C$6,I6,1,2,1000000)</f>
        <v>-21607</v>
      </c>
      <c r="J194" s="63">
        <f>-[2]!s_stmnote_bank_634($C$6,J6,1,2,1000000)</f>
        <v>0</v>
      </c>
      <c r="K194" s="63">
        <f>-[2]!s_stmnote_bank_634($C$6,K6,1,2,1000000)</f>
        <v>-12021</v>
      </c>
      <c r="L194" s="63">
        <f>-[2]!s_stmnote_bank_634($C$6,L6,1,2,1000000)</f>
        <v>0</v>
      </c>
      <c r="M194" s="63">
        <f>-[2]!s_stmnote_bank_634($C$6,M6,1,2,1000000)</f>
        <v>-24721</v>
      </c>
      <c r="N194" s="63">
        <f>-[2]!s_stmnote_bank_634($C$6,N6,1,2,1000000)</f>
        <v>0</v>
      </c>
      <c r="O194" s="63">
        <f>-[2]!s_stmnote_bank_634($C$6,O6,1,2,1000000)</f>
        <v>-8232</v>
      </c>
      <c r="P194" s="63">
        <f>-[2]!s_stmnote_bank_634($C$6,P6,1,2,1000000)</f>
        <v>0</v>
      </c>
      <c r="Q194" s="63">
        <f>-[2]!s_stmnote_bank_634($C$6,Q6,1,2,1000000)</f>
        <v>-18456</v>
      </c>
      <c r="R194" s="63">
        <f>-[2]!s_stmnote_bank_634($C$6,R6,1,2,1000000)</f>
        <v>0</v>
      </c>
      <c r="S194" s="63">
        <f>-[2]!s_stmnote_bank_634($C$6,S6,1,2,1000000)</f>
        <v>-10287</v>
      </c>
      <c r="T194" s="63">
        <f>-[2]!s_stmnote_bank_634($C$6,T6,1,2,1000000)</f>
        <v>0</v>
      </c>
      <c r="U194" s="63">
        <f>-[2]!s_stmnote_bank_634($C$6,U6,1,2,1000000)</f>
        <v>-21595</v>
      </c>
      <c r="V194" s="63">
        <f>-[2]!s_stmnote_bank_634($C$6,V6,1,2,1000000)</f>
        <v>0</v>
      </c>
      <c r="W194" s="63">
        <f>-[2]!s_stmnote_bank_634($C$6,W6,1,2,1000000)</f>
        <v>-13466</v>
      </c>
      <c r="X194" s="63">
        <f>-[2]!s_stmnote_bank_634($C$6,X6,1,2,1000000)</f>
        <v>0</v>
      </c>
      <c r="Y194" s="63">
        <f>-[2]!s_stmnote_bank_634($C$6,Y6,1,2,1000000)</f>
        <v>-29318</v>
      </c>
      <c r="Z194" s="63">
        <f>-[2]!s_stmnote_bank_634($C$6,Z6,1,2,1000000)</f>
        <v>0</v>
      </c>
      <c r="AA194" s="63">
        <f>-[2]!s_stmnote_bank_634($C$6,AA6,1,2,1000000)</f>
        <v>-15276</v>
      </c>
      <c r="AB194" s="63">
        <f>-[2]!s_stmnote_bank_634($C$6,AB6,1,2,1000000)</f>
        <v>0</v>
      </c>
      <c r="AC194" s="63">
        <f>-[2]!s_stmnote_bank_634($C$6,AC6,1,2,1000000)</f>
        <v>-30046</v>
      </c>
      <c r="AD194" s="63">
        <f>-[2]!s_stmnote_bank_634($C$6,AD6,1,2,1000000)</f>
        <v>0</v>
      </c>
      <c r="AE194" s="63">
        <f>-[2]!s_stmnote_bank_634($C$6,AE6,1,2,1000000)</f>
        <v>-13269</v>
      </c>
      <c r="AF194" s="63">
        <f>-[2]!s_stmnote_bank_634($C$6,AF6,1,2,1000000)</f>
        <v>0</v>
      </c>
      <c r="AG194" s="63">
        <f>-[2]!s_stmnote_bank_634($C$6,AG6,1,2,1000000)</f>
        <v>-28454</v>
      </c>
      <c r="AH194" s="63">
        <f>-[2]!s_stmnote_bank_634($C$6,AH6,1,2,1000000)</f>
        <v>0</v>
      </c>
      <c r="AI194" s="63">
        <f>-[2]!s_stmnote_bank_634($C$6,AI6,1,2,1000000)</f>
        <v>-14460</v>
      </c>
      <c r="AJ194" s="63">
        <f>-[2]!s_stmnote_bank_634($C$6,AJ6,1,2,1000000)</f>
        <v>0</v>
      </c>
      <c r="AK194" s="63">
        <f>-[2]!s_stmnote_bank_634($C$6,AK6,1,2,1000000)</f>
        <v>-30297</v>
      </c>
      <c r="AL194" s="63">
        <f>-[2]!s_stmnote_bank_634($C$6,AL6,1,2,1000000)</f>
        <v>0</v>
      </c>
      <c r="AM194" s="63">
        <f>-[2]!s_stmnote_bank_634($C$6,AM6,1,2,1000000)</f>
        <v>-14797</v>
      </c>
      <c r="AN194" s="63">
        <f>-[2]!s_stmnote_bank_634($C$6,AN6,1,2,1000000)</f>
        <v>0</v>
      </c>
      <c r="AO194" s="63">
        <f>-[2]!s_stmnote_bank_634($C$6,AO6,1,2,1000000)</f>
        <v>-30170</v>
      </c>
      <c r="AP194" s="63">
        <f>-[2]!s_stmnote_bank_634($C$6,AP6,1,2,1000000)</f>
        <v>0</v>
      </c>
      <c r="AQ194" s="63">
        <f>-[2]!s_stmnote_bank_634($C$6,AQ6,1,2,1000000)</f>
        <v>-14238</v>
      </c>
      <c r="AR194" s="63">
        <f>-[2]!s_stmnote_bank_634($C$6,AR6,1,2,1000000)</f>
        <v>0</v>
      </c>
      <c r="AS194" s="63">
        <f>-[2]!s_stmnote_bank_634($C$6,AS6,1,2,1000000)</f>
        <v>-31855</v>
      </c>
      <c r="AT194" s="63"/>
    </row>
    <row r="195" spans="2:46" ht="13.15" x14ac:dyDescent="0.35">
      <c r="B195" s="116"/>
      <c r="C195" s="124" t="s">
        <v>165</v>
      </c>
      <c r="E195" s="63">
        <f>-[2]!s_stmnote_bank_632($C$6,E6,1,2,1000000)</f>
        <v>0</v>
      </c>
      <c r="F195" s="63">
        <f>-[2]!s_stmnote_bank_632($C$6,F6,1,2,1000000)</f>
        <v>0</v>
      </c>
      <c r="G195" s="63">
        <f>-[2]!s_stmnote_bank_632($C$6,G6,1,2,1000000)</f>
        <v>0</v>
      </c>
      <c r="H195" s="63">
        <f>-[2]!s_stmnote_bank_632($C$6,H6,1,2,1000000)</f>
        <v>0</v>
      </c>
      <c r="I195" s="63">
        <f>-[2]!s_stmnote_bank_632($C$6,I6,1,2,1000000)</f>
        <v>-9150</v>
      </c>
      <c r="J195" s="63">
        <f>-[2]!s_stmnote_bank_632($C$6,J6,1,2,1000000)</f>
        <v>0</v>
      </c>
      <c r="K195" s="63">
        <f>-[2]!s_stmnote_bank_632($C$6,K6,1,2,1000000)</f>
        <v>-4250</v>
      </c>
      <c r="L195" s="63">
        <f>-[2]!s_stmnote_bank_632($C$6,L6,1,2,1000000)</f>
        <v>0</v>
      </c>
      <c r="M195" s="63">
        <f>-[2]!s_stmnote_bank_632($C$6,M6,1,2,1000000)</f>
        <v>-7590</v>
      </c>
      <c r="N195" s="63">
        <f>-[2]!s_stmnote_bank_632($C$6,N6,1,2,1000000)</f>
        <v>0</v>
      </c>
      <c r="O195" s="63">
        <f>-[2]!s_stmnote_bank_632($C$6,O6,1,2,1000000)</f>
        <v>-2638</v>
      </c>
      <c r="P195" s="63">
        <f>-[2]!s_stmnote_bank_632($C$6,P6,1,2,1000000)</f>
        <v>0</v>
      </c>
      <c r="Q195" s="63">
        <f>-[2]!s_stmnote_bank_632($C$6,Q6,1,2,1000000)</f>
        <v>-5568</v>
      </c>
      <c r="R195" s="63">
        <f>-[2]!s_stmnote_bank_632($C$6,R6,1,2,1000000)</f>
        <v>0</v>
      </c>
      <c r="S195" s="63">
        <f>-[2]!s_stmnote_bank_632($C$6,S6,1,2,1000000)</f>
        <v>-3455</v>
      </c>
      <c r="T195" s="63">
        <f>-[2]!s_stmnote_bank_632($C$6,T6,1,2,1000000)</f>
        <v>0</v>
      </c>
      <c r="U195" s="63">
        <f>-[2]!s_stmnote_bank_632($C$6,U6,1,2,1000000)</f>
        <v>-7210</v>
      </c>
      <c r="V195" s="63">
        <f>-[2]!s_stmnote_bank_632($C$6,V6,1,2,1000000)</f>
        <v>0</v>
      </c>
      <c r="W195" s="63">
        <f>-[2]!s_stmnote_bank_632($C$6,W6,1,2,1000000)</f>
        <v>-5272</v>
      </c>
      <c r="X195" s="63">
        <f>-[2]!s_stmnote_bank_632($C$6,X6,1,2,1000000)</f>
        <v>0</v>
      </c>
      <c r="Y195" s="63">
        <f>-[2]!s_stmnote_bank_632($C$6,Y6,1,2,1000000)</f>
        <v>-10663</v>
      </c>
      <c r="Z195" s="63">
        <f>-[2]!s_stmnote_bank_632($C$6,Z6,1,2,1000000)</f>
        <v>0</v>
      </c>
      <c r="AA195" s="63">
        <f>-[2]!s_stmnote_bank_632($C$6,AA6,1,2,1000000)</f>
        <v>-5590</v>
      </c>
      <c r="AB195" s="63">
        <f>-[2]!s_stmnote_bank_632($C$6,AB6,1,2,1000000)</f>
        <v>0</v>
      </c>
      <c r="AC195" s="63">
        <f>-[2]!s_stmnote_bank_632($C$6,AC6,1,2,1000000)</f>
        <v>-9987</v>
      </c>
      <c r="AD195" s="63">
        <f>-[2]!s_stmnote_bank_632($C$6,AD6,1,2,1000000)</f>
        <v>0</v>
      </c>
      <c r="AE195" s="63">
        <f>-[2]!s_stmnote_bank_632($C$6,AE6,1,2,1000000)</f>
        <v>-4874</v>
      </c>
      <c r="AF195" s="63">
        <f>-[2]!s_stmnote_bank_632($C$6,AF6,1,2,1000000)</f>
        <v>0</v>
      </c>
      <c r="AG195" s="63">
        <f>-[2]!s_stmnote_bank_632($C$6,AG6,1,2,1000000)</f>
        <v>-9884</v>
      </c>
      <c r="AH195" s="63">
        <f>-[2]!s_stmnote_bank_632($C$6,AH6,1,2,1000000)</f>
        <v>0</v>
      </c>
      <c r="AI195" s="63">
        <f>-[2]!s_stmnote_bank_632($C$6,AI6,1,2,1000000)</f>
        <v>-5142</v>
      </c>
      <c r="AJ195" s="63">
        <f>-[2]!s_stmnote_bank_632($C$6,AJ6,1,2,1000000)</f>
        <v>0</v>
      </c>
      <c r="AK195" s="63">
        <f>-[2]!s_stmnote_bank_632($C$6,AK6,1,2,1000000)</f>
        <v>-10326</v>
      </c>
      <c r="AL195" s="63">
        <f>-[2]!s_stmnote_bank_632($C$6,AL6,1,2,1000000)</f>
        <v>0</v>
      </c>
      <c r="AM195" s="63">
        <f>-[2]!s_stmnote_bank_632($C$6,AM6,1,2,1000000)</f>
        <v>-5344</v>
      </c>
      <c r="AN195" s="63">
        <f>-[2]!s_stmnote_bank_632($C$6,AN6,1,2,1000000)</f>
        <v>0</v>
      </c>
      <c r="AO195" s="63">
        <f>-[2]!s_stmnote_bank_632($C$6,AO6,1,2,1000000)</f>
        <v>-10439</v>
      </c>
      <c r="AP195" s="63">
        <f>-[2]!s_stmnote_bank_632($C$6,AP6,1,2,1000000)</f>
        <v>0</v>
      </c>
      <c r="AQ195" s="63">
        <f>-[2]!s_stmnote_bank_632($C$6,AQ6,1,2,1000000)</f>
        <v>-5139</v>
      </c>
      <c r="AR195" s="63">
        <f>-[2]!s_stmnote_bank_632($C$6,AR6,1,2,1000000)</f>
        <v>0</v>
      </c>
      <c r="AS195" s="63">
        <f>-[2]!s_stmnote_bank_632($C$6,AS6,1,2,1000000)</f>
        <v>-10597</v>
      </c>
      <c r="AT195" s="63"/>
    </row>
    <row r="196" spans="2:46" s="38" customFormat="1" ht="13.15" x14ac:dyDescent="0.35">
      <c r="B196" s="153"/>
      <c r="C196" s="154" t="s">
        <v>141</v>
      </c>
      <c r="E196" s="156"/>
      <c r="F196" s="156"/>
      <c r="G196" s="156"/>
      <c r="H196" s="156"/>
      <c r="I196" s="156">
        <f t="shared" ref="I196:AR196" si="42">I197+I198</f>
        <v>-80337</v>
      </c>
      <c r="J196" s="156">
        <f t="shared" si="42"/>
        <v>0</v>
      </c>
      <c r="K196" s="156">
        <f t="shared" si="42"/>
        <v>-55204</v>
      </c>
      <c r="L196" s="156">
        <f t="shared" si="42"/>
        <v>0</v>
      </c>
      <c r="M196" s="156">
        <f t="shared" si="42"/>
        <v>-124251</v>
      </c>
      <c r="N196" s="156">
        <f t="shared" si="42"/>
        <v>0</v>
      </c>
      <c r="O196" s="156">
        <f t="shared" si="42"/>
        <v>-64757</v>
      </c>
      <c r="P196" s="156">
        <f t="shared" si="42"/>
        <v>0</v>
      </c>
      <c r="Q196" s="156">
        <f t="shared" si="42"/>
        <v>-119799</v>
      </c>
      <c r="R196" s="156">
        <f t="shared" si="42"/>
        <v>0</v>
      </c>
      <c r="S196" s="156">
        <f t="shared" si="42"/>
        <v>-53439</v>
      </c>
      <c r="T196" s="156">
        <f t="shared" si="42"/>
        <v>0</v>
      </c>
      <c r="U196" s="156">
        <f t="shared" si="42"/>
        <v>-109760</v>
      </c>
      <c r="V196" s="156">
        <f t="shared" si="42"/>
        <v>0</v>
      </c>
      <c r="W196" s="156">
        <f t="shared" si="42"/>
        <v>-64043</v>
      </c>
      <c r="X196" s="156">
        <f t="shared" si="42"/>
        <v>0</v>
      </c>
      <c r="Y196" s="156">
        <f t="shared" si="42"/>
        <v>-145148</v>
      </c>
      <c r="Z196" s="156">
        <f t="shared" si="42"/>
        <v>0</v>
      </c>
      <c r="AA196" s="156">
        <f t="shared" si="42"/>
        <v>-96175</v>
      </c>
      <c r="AB196" s="156">
        <f t="shared" si="42"/>
        <v>0</v>
      </c>
      <c r="AC196" s="156">
        <f t="shared" si="42"/>
        <v>-203830</v>
      </c>
      <c r="AD196" s="156">
        <f t="shared" si="42"/>
        <v>0</v>
      </c>
      <c r="AE196" s="156">
        <f t="shared" si="42"/>
        <v>-110915</v>
      </c>
      <c r="AF196" s="156">
        <f t="shared" si="42"/>
        <v>0</v>
      </c>
      <c r="AG196" s="156">
        <f t="shared" si="42"/>
        <v>-228946</v>
      </c>
      <c r="AH196" s="156">
        <f t="shared" si="42"/>
        <v>0</v>
      </c>
      <c r="AI196" s="156">
        <f t="shared" si="42"/>
        <v>-122174</v>
      </c>
      <c r="AJ196" s="156">
        <f t="shared" si="42"/>
        <v>0</v>
      </c>
      <c r="AK196" s="156">
        <f t="shared" si="42"/>
        <v>-248810</v>
      </c>
      <c r="AL196" s="156">
        <f t="shared" si="42"/>
        <v>0</v>
      </c>
      <c r="AM196" s="156">
        <f t="shared" si="42"/>
        <v>-127053</v>
      </c>
      <c r="AN196" s="156">
        <f t="shared" si="42"/>
        <v>0</v>
      </c>
      <c r="AO196" s="156">
        <f t="shared" si="42"/>
        <v>-248330</v>
      </c>
      <c r="AP196" s="156">
        <f t="shared" si="42"/>
        <v>0</v>
      </c>
      <c r="AQ196" s="156">
        <f t="shared" si="42"/>
        <v>-105953</v>
      </c>
      <c r="AR196" s="156">
        <f t="shared" si="42"/>
        <v>0</v>
      </c>
      <c r="AS196" s="156">
        <f>AS197+AS198</f>
        <v>-205666</v>
      </c>
      <c r="AT196" s="156"/>
    </row>
    <row r="197" spans="2:46" ht="13.15" x14ac:dyDescent="0.35">
      <c r="B197" s="116"/>
      <c r="C197" s="124" t="s">
        <v>166</v>
      </c>
      <c r="E197" s="63">
        <f>-[2]!s_stmnote_bank_633($C$6,E6,1,2,1000000)</f>
        <v>0</v>
      </c>
      <c r="F197" s="63">
        <f>-[2]!s_stmnote_bank_633($C$6,F6,1,2,1000000)</f>
        <v>0</v>
      </c>
      <c r="G197" s="63">
        <f>-[2]!s_stmnote_bank_633($C$6,G6,1,2,1000000)</f>
        <v>0</v>
      </c>
      <c r="H197" s="63">
        <f>-[2]!s_stmnote_bank_633($C$6,H6,1,2,1000000)</f>
        <v>0</v>
      </c>
      <c r="I197" s="63">
        <f>-[2]!s_stmnote_bank_633($C$6,I6,1,2,1000000)</f>
        <v>-25445</v>
      </c>
      <c r="J197" s="63">
        <f>-[2]!s_stmnote_bank_633($C$6,J6,1,2,1000000)</f>
        <v>0</v>
      </c>
      <c r="K197" s="63">
        <f>-[2]!s_stmnote_bank_633($C$6,K6,1,2,1000000)</f>
        <v>-18804</v>
      </c>
      <c r="L197" s="63">
        <f>-[2]!s_stmnote_bank_633($C$6,L6,1,2,1000000)</f>
        <v>0</v>
      </c>
      <c r="M197" s="63">
        <f>-[2]!s_stmnote_bank_633($C$6,M6,1,2,1000000)</f>
        <v>-41938</v>
      </c>
      <c r="N197" s="63">
        <f>-[2]!s_stmnote_bank_633($C$6,N6,1,2,1000000)</f>
        <v>0</v>
      </c>
      <c r="O197" s="63">
        <f>-[2]!s_stmnote_bank_633($C$6,O6,1,2,1000000)</f>
        <v>-21377</v>
      </c>
      <c r="P197" s="63">
        <f>-[2]!s_stmnote_bank_633($C$6,P6,1,2,1000000)</f>
        <v>0</v>
      </c>
      <c r="Q197" s="63">
        <f>-[2]!s_stmnote_bank_633($C$6,Q6,1,2,1000000)</f>
        <v>-39705</v>
      </c>
      <c r="R197" s="63">
        <f>-[2]!s_stmnote_bank_633($C$6,R6,1,2,1000000)</f>
        <v>0</v>
      </c>
      <c r="S197" s="63">
        <f>-[2]!s_stmnote_bank_633($C$6,S6,1,2,1000000)</f>
        <v>-18629</v>
      </c>
      <c r="T197" s="63">
        <f>-[2]!s_stmnote_bank_633($C$6,T6,1,2,1000000)</f>
        <v>0</v>
      </c>
      <c r="U197" s="63">
        <f>-[2]!s_stmnote_bank_633($C$6,U6,1,2,1000000)</f>
        <v>-40330</v>
      </c>
      <c r="V197" s="63">
        <f>-[2]!s_stmnote_bank_633($C$6,V6,1,2,1000000)</f>
        <v>0</v>
      </c>
      <c r="W197" s="63">
        <f>-[2]!s_stmnote_bank_633($C$6,W6,1,2,1000000)</f>
        <v>-24365</v>
      </c>
      <c r="X197" s="63">
        <f>-[2]!s_stmnote_bank_633($C$6,X6,1,2,1000000)</f>
        <v>0</v>
      </c>
      <c r="Y197" s="63">
        <f>-[2]!s_stmnote_bank_633($C$6,Y6,1,2,1000000)</f>
        <v>-56395</v>
      </c>
      <c r="Z197" s="63">
        <f>-[2]!s_stmnote_bank_633($C$6,Z6,1,2,1000000)</f>
        <v>0</v>
      </c>
      <c r="AA197" s="63">
        <f>-[2]!s_stmnote_bank_633($C$6,AA6,1,2,1000000)</f>
        <v>-36878</v>
      </c>
      <c r="AB197" s="63">
        <f>-[2]!s_stmnote_bank_633($C$6,AB6,1,2,1000000)</f>
        <v>0</v>
      </c>
      <c r="AC197" s="63">
        <f>-[2]!s_stmnote_bank_633($C$6,AC6,1,2,1000000)</f>
        <v>-81383</v>
      </c>
      <c r="AD197" s="63">
        <f>-[2]!s_stmnote_bank_633($C$6,AD6,1,2,1000000)</f>
        <v>0</v>
      </c>
      <c r="AE197" s="63">
        <f>-[2]!s_stmnote_bank_633($C$6,AE6,1,2,1000000)</f>
        <v>-46691</v>
      </c>
      <c r="AF197" s="63">
        <f>-[2]!s_stmnote_bank_633($C$6,AF6,1,2,1000000)</f>
        <v>0</v>
      </c>
      <c r="AG197" s="63">
        <f>-[2]!s_stmnote_bank_633($C$6,AG6,1,2,1000000)</f>
        <v>-99468</v>
      </c>
      <c r="AH197" s="63">
        <f>-[2]!s_stmnote_bank_633($C$6,AH6,1,2,1000000)</f>
        <v>0</v>
      </c>
      <c r="AI197" s="63">
        <f>-[2]!s_stmnote_bank_633($C$6,AI6,1,2,1000000)</f>
        <v>-56533</v>
      </c>
      <c r="AJ197" s="63">
        <f>-[2]!s_stmnote_bank_633($C$6,AJ6,1,2,1000000)</f>
        <v>0</v>
      </c>
      <c r="AK197" s="63">
        <f>-[2]!s_stmnote_bank_633($C$6,AK6,1,2,1000000)</f>
        <v>-116431</v>
      </c>
      <c r="AL197" s="63">
        <f>-[2]!s_stmnote_bank_633($C$6,AL6,1,2,1000000)</f>
        <v>0</v>
      </c>
      <c r="AM197" s="63">
        <f>-[2]!s_stmnote_bank_633($C$6,AM6,1,2,1000000)</f>
        <v>-59213</v>
      </c>
      <c r="AN197" s="63">
        <f>-[2]!s_stmnote_bank_633($C$6,AN6,1,2,1000000)</f>
        <v>0</v>
      </c>
      <c r="AO197" s="63">
        <f>-[2]!s_stmnote_bank_633($C$6,AO6,1,2,1000000)</f>
        <v>-115366</v>
      </c>
      <c r="AP197" s="63">
        <f>-[2]!s_stmnote_bank_633($C$6,AP6,1,2,1000000)</f>
        <v>0</v>
      </c>
      <c r="AQ197" s="63">
        <f>-[2]!s_stmnote_bank_633($C$6,AQ6,1,2,1000000)</f>
        <v>-47091</v>
      </c>
      <c r="AR197" s="63">
        <f>-[2]!s_stmnote_bank_633($C$6,AR6,1,2,1000000)</f>
        <v>0</v>
      </c>
      <c r="AS197" s="63">
        <f>-[2]!s_stmnote_bank_633($C$6,AS6,1,2,1000000)</f>
        <v>-91153</v>
      </c>
      <c r="AT197" s="63"/>
    </row>
    <row r="198" spans="2:46" ht="13.15" x14ac:dyDescent="0.35">
      <c r="B198" s="116"/>
      <c r="C198" s="124" t="s">
        <v>167</v>
      </c>
      <c r="E198" s="63">
        <f>-[2]!s_stmnote_bank_631($C$6,E6,1,2,1000000)</f>
        <v>0</v>
      </c>
      <c r="F198" s="63">
        <f>-[2]!s_stmnote_bank_631($C$6,F6,1,2,1000000)</f>
        <v>0</v>
      </c>
      <c r="G198" s="63">
        <f>-[2]!s_stmnote_bank_631($C$6,G6,1,2,1000000)</f>
        <v>0</v>
      </c>
      <c r="H198" s="63">
        <f>-[2]!s_stmnote_bank_631($C$6,H6,1,2,1000000)</f>
        <v>0</v>
      </c>
      <c r="I198" s="63">
        <f>-[2]!s_stmnote_bank_631($C$6,I6,1,2,1000000)</f>
        <v>-54892</v>
      </c>
      <c r="J198" s="63">
        <f>-[2]!s_stmnote_bank_631($C$6,J6,1,2,1000000)</f>
        <v>0</v>
      </c>
      <c r="K198" s="63">
        <f>-[2]!s_stmnote_bank_631($C$6,K6,1,2,1000000)</f>
        <v>-36400</v>
      </c>
      <c r="L198" s="63">
        <f>-[2]!s_stmnote_bank_631($C$6,L6,1,2,1000000)</f>
        <v>0</v>
      </c>
      <c r="M198" s="63">
        <f>-[2]!s_stmnote_bank_631($C$6,M6,1,2,1000000)</f>
        <v>-82313</v>
      </c>
      <c r="N198" s="63">
        <f>-[2]!s_stmnote_bank_631($C$6,N6,1,2,1000000)</f>
        <v>0</v>
      </c>
      <c r="O198" s="63">
        <f>-[2]!s_stmnote_bank_631($C$6,O6,1,2,1000000)</f>
        <v>-43380</v>
      </c>
      <c r="P198" s="63">
        <f>-[2]!s_stmnote_bank_631($C$6,P6,1,2,1000000)</f>
        <v>0</v>
      </c>
      <c r="Q198" s="63">
        <f>-[2]!s_stmnote_bank_631($C$6,Q6,1,2,1000000)</f>
        <v>-80094</v>
      </c>
      <c r="R198" s="63">
        <f>-[2]!s_stmnote_bank_631($C$6,R6,1,2,1000000)</f>
        <v>0</v>
      </c>
      <c r="S198" s="63">
        <f>-[2]!s_stmnote_bank_631($C$6,S6,1,2,1000000)</f>
        <v>-34810</v>
      </c>
      <c r="T198" s="63">
        <f>-[2]!s_stmnote_bank_631($C$6,T6,1,2,1000000)</f>
        <v>0</v>
      </c>
      <c r="U198" s="63">
        <f>-[2]!s_stmnote_bank_631($C$6,U6,1,2,1000000)</f>
        <v>-69430</v>
      </c>
      <c r="V198" s="63">
        <f>-[2]!s_stmnote_bank_631($C$6,V6,1,2,1000000)</f>
        <v>0</v>
      </c>
      <c r="W198" s="63">
        <f>-[2]!s_stmnote_bank_631($C$6,W6,1,2,1000000)</f>
        <v>-39678</v>
      </c>
      <c r="X198" s="63">
        <f>-[2]!s_stmnote_bank_631($C$6,X6,1,2,1000000)</f>
        <v>0</v>
      </c>
      <c r="Y198" s="63">
        <f>-[2]!s_stmnote_bank_631($C$6,Y6,1,2,1000000)</f>
        <v>-88753</v>
      </c>
      <c r="Z198" s="63">
        <f>-[2]!s_stmnote_bank_631($C$6,Z6,1,2,1000000)</f>
        <v>0</v>
      </c>
      <c r="AA198" s="63">
        <f>-[2]!s_stmnote_bank_631($C$6,AA6,1,2,1000000)</f>
        <v>-59297</v>
      </c>
      <c r="AB198" s="63">
        <f>-[2]!s_stmnote_bank_631($C$6,AB6,1,2,1000000)</f>
        <v>0</v>
      </c>
      <c r="AC198" s="63">
        <f>-[2]!s_stmnote_bank_631($C$6,AC6,1,2,1000000)</f>
        <v>-122447</v>
      </c>
      <c r="AD198" s="63">
        <f>-[2]!s_stmnote_bank_631($C$6,AD6,1,2,1000000)</f>
        <v>0</v>
      </c>
      <c r="AE198" s="63">
        <f>-[2]!s_stmnote_bank_631($C$6,AE6,1,2,1000000)</f>
        <v>-64224</v>
      </c>
      <c r="AF198" s="63">
        <f>-[2]!s_stmnote_bank_631($C$6,AF6,1,2,1000000)</f>
        <v>0</v>
      </c>
      <c r="AG198" s="63">
        <f>-[2]!s_stmnote_bank_631($C$6,AG6,1,2,1000000)</f>
        <v>-129478</v>
      </c>
      <c r="AH198" s="63">
        <f>-[2]!s_stmnote_bank_631($C$6,AH6,1,2,1000000)</f>
        <v>0</v>
      </c>
      <c r="AI198" s="63">
        <f>-[2]!s_stmnote_bank_631($C$6,AI6,1,2,1000000)</f>
        <v>-65641</v>
      </c>
      <c r="AJ198" s="63">
        <f>-[2]!s_stmnote_bank_631($C$6,AJ6,1,2,1000000)</f>
        <v>0</v>
      </c>
      <c r="AK198" s="63">
        <f>-[2]!s_stmnote_bank_631($C$6,AK6,1,2,1000000)</f>
        <v>-132379</v>
      </c>
      <c r="AL198" s="63">
        <f>-[2]!s_stmnote_bank_631($C$6,AL6,1,2,1000000)</f>
        <v>0</v>
      </c>
      <c r="AM198" s="63">
        <f>-[2]!s_stmnote_bank_631($C$6,AM6,1,2,1000000)</f>
        <v>-67840</v>
      </c>
      <c r="AN198" s="63">
        <f>-[2]!s_stmnote_bank_631($C$6,AN6,1,2,1000000)</f>
        <v>0</v>
      </c>
      <c r="AO198" s="63">
        <f>-[2]!s_stmnote_bank_631($C$6,AO6,1,2,1000000)</f>
        <v>-132964</v>
      </c>
      <c r="AP198" s="63">
        <f>-[2]!s_stmnote_bank_631($C$6,AP6,1,2,1000000)</f>
        <v>0</v>
      </c>
      <c r="AQ198" s="63">
        <f>-[2]!s_stmnote_bank_631($C$6,AQ6,1,2,1000000)</f>
        <v>-58862</v>
      </c>
      <c r="AR198" s="63">
        <f>-[2]!s_stmnote_bank_631($C$6,AR6,1,2,1000000)</f>
        <v>0</v>
      </c>
      <c r="AS198" s="63">
        <f>-[2]!s_stmnote_bank_631($C$6,AS6,1,2,1000000)</f>
        <v>-114513</v>
      </c>
      <c r="AT198" s="63"/>
    </row>
    <row r="199" spans="2:46" ht="13.15" x14ac:dyDescent="0.35">
      <c r="B199" s="116"/>
      <c r="C199" s="125" t="s">
        <v>168</v>
      </c>
      <c r="AC199" s="17">
        <v>-5559</v>
      </c>
      <c r="AG199" s="17">
        <v>-6513</v>
      </c>
      <c r="AI199" s="17">
        <v>-4717</v>
      </c>
      <c r="AK199" s="17">
        <v>-9508</v>
      </c>
      <c r="AM199" s="17">
        <v>-4777</v>
      </c>
      <c r="AO199" s="17">
        <v>-9071</v>
      </c>
      <c r="AQ199" s="17">
        <v>-4637</v>
      </c>
      <c r="AS199" s="156">
        <v>-9732</v>
      </c>
    </row>
    <row r="200" spans="2:46" ht="13.15" x14ac:dyDescent="0.35">
      <c r="B200" s="116"/>
      <c r="C200" s="126" t="s">
        <v>169</v>
      </c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  <c r="AA200" s="131"/>
      <c r="AB200" s="131"/>
      <c r="AC200" s="131">
        <v>-10728</v>
      </c>
      <c r="AD200" s="131"/>
      <c r="AE200" s="131"/>
      <c r="AF200" s="131"/>
      <c r="AG200" s="131">
        <v>-11770</v>
      </c>
      <c r="AH200" s="131"/>
      <c r="AI200" s="131">
        <v>-7039</v>
      </c>
      <c r="AJ200" s="131"/>
      <c r="AK200" s="131">
        <v>-14615</v>
      </c>
      <c r="AL200" s="131"/>
      <c r="AM200" s="131">
        <v>-7809</v>
      </c>
      <c r="AN200" s="131"/>
      <c r="AO200" s="131">
        <v>-16101</v>
      </c>
      <c r="AP200" s="131"/>
      <c r="AQ200" s="131">
        <v>-8383</v>
      </c>
      <c r="AR200" s="131"/>
      <c r="AS200" s="131">
        <v>-17470</v>
      </c>
      <c r="AT200" s="131"/>
    </row>
    <row r="201" spans="2:46" ht="13.15" x14ac:dyDescent="0.35">
      <c r="B201" s="116"/>
      <c r="C201" s="140" t="s">
        <v>170</v>
      </c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7"/>
      <c r="AC201" s="157">
        <v>-43461</v>
      </c>
      <c r="AD201" s="157"/>
      <c r="AE201" s="157"/>
      <c r="AF201" s="157"/>
      <c r="AG201" s="157">
        <v>-38209</v>
      </c>
      <c r="AH201" s="157"/>
      <c r="AI201" s="157">
        <v>-21474</v>
      </c>
      <c r="AJ201" s="157"/>
      <c r="AK201" s="157">
        <v>-42801</v>
      </c>
      <c r="AL201" s="157"/>
      <c r="AM201" s="157">
        <v>-25428</v>
      </c>
      <c r="AN201" s="157"/>
      <c r="AO201" s="157">
        <v>-49801</v>
      </c>
      <c r="AP201" s="157"/>
      <c r="AQ201" s="157">
        <v>-22598</v>
      </c>
      <c r="AR201" s="157"/>
      <c r="AS201" s="157">
        <v>-44314</v>
      </c>
      <c r="AT201" s="157"/>
    </row>
    <row r="202" spans="2:46" ht="13.15" x14ac:dyDescent="0.35">
      <c r="B202" s="116"/>
      <c r="C202" s="124" t="s">
        <v>171</v>
      </c>
      <c r="E202" s="132"/>
      <c r="F202" s="132"/>
      <c r="G202" s="132"/>
      <c r="H202" s="132"/>
      <c r="I202" s="132"/>
      <c r="J202" s="132"/>
      <c r="K202" s="132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</row>
    <row r="203" spans="2:46" ht="13.15" x14ac:dyDescent="0.35">
      <c r="B203" s="116"/>
      <c r="C203" s="124" t="s">
        <v>63</v>
      </c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</row>
    <row r="204" spans="2:46" ht="13.15" x14ac:dyDescent="0.35">
      <c r="B204" s="116"/>
      <c r="C204" s="124" t="s">
        <v>172</v>
      </c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</row>
    <row r="205" spans="2:46" ht="13.15" x14ac:dyDescent="0.35">
      <c r="B205" s="116"/>
      <c r="C205" s="141" t="s">
        <v>173</v>
      </c>
      <c r="E205" s="142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>
        <v>0</v>
      </c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</row>
    <row r="206" spans="2:46" ht="13.5" thickBot="1" x14ac:dyDescent="0.4">
      <c r="B206" s="116"/>
      <c r="C206" s="133" t="s">
        <v>182</v>
      </c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8"/>
      <c r="AI206" s="158"/>
      <c r="AJ206" s="158"/>
      <c r="AK206" s="158"/>
      <c r="AL206" s="158"/>
      <c r="AM206" s="158"/>
      <c r="AN206" s="158"/>
      <c r="AO206" s="158"/>
      <c r="AP206" s="158"/>
      <c r="AQ206" s="158"/>
      <c r="AR206" s="158"/>
      <c r="AS206" s="158"/>
      <c r="AT206" s="158"/>
    </row>
    <row r="207" spans="2:46" s="160" customFormat="1" ht="13.15" x14ac:dyDescent="0.35">
      <c r="B207" s="159"/>
      <c r="C207" s="57" t="s">
        <v>91</v>
      </c>
      <c r="E207" s="59">
        <v>0</v>
      </c>
      <c r="F207" s="59">
        <v>0</v>
      </c>
      <c r="G207" s="59">
        <v>0</v>
      </c>
      <c r="H207" s="59">
        <v>0</v>
      </c>
      <c r="I207" s="59">
        <v>0</v>
      </c>
      <c r="J207" s="59">
        <v>0</v>
      </c>
      <c r="K207" s="59">
        <v>0</v>
      </c>
      <c r="L207" s="59">
        <v>0</v>
      </c>
      <c r="M207" s="59">
        <v>0</v>
      </c>
      <c r="N207" s="59">
        <v>0</v>
      </c>
      <c r="O207" s="59">
        <v>0</v>
      </c>
      <c r="P207" s="59">
        <v>0</v>
      </c>
      <c r="Q207" s="59">
        <v>0</v>
      </c>
      <c r="R207" s="59">
        <v>0</v>
      </c>
      <c r="S207" s="59">
        <v>0</v>
      </c>
      <c r="T207" s="59">
        <v>0</v>
      </c>
      <c r="U207" s="59">
        <v>0</v>
      </c>
      <c r="V207" s="59">
        <v>0</v>
      </c>
      <c r="W207" s="59">
        <v>0</v>
      </c>
      <c r="X207" s="59">
        <v>0</v>
      </c>
      <c r="Y207" s="59">
        <v>0</v>
      </c>
      <c r="Z207" s="59">
        <v>0</v>
      </c>
      <c r="AA207" s="59">
        <v>0</v>
      </c>
      <c r="AB207" s="59">
        <v>0</v>
      </c>
      <c r="AC207" s="59">
        <v>0</v>
      </c>
      <c r="AD207" s="59">
        <v>0</v>
      </c>
      <c r="AE207" s="59">
        <v>0</v>
      </c>
      <c r="AF207" s="59">
        <v>0</v>
      </c>
      <c r="AG207" s="59">
        <v>0</v>
      </c>
      <c r="AH207" s="59">
        <v>0</v>
      </c>
      <c r="AI207" s="59">
        <f t="shared" ref="AI207:AR207" si="43">IF(AI192=0,0,AI191-AI192-AI200-AI201)</f>
        <v>0</v>
      </c>
      <c r="AJ207" s="59">
        <f t="shared" si="43"/>
        <v>0</v>
      </c>
      <c r="AK207" s="59">
        <f t="shared" si="43"/>
        <v>0</v>
      </c>
      <c r="AL207" s="59">
        <f t="shared" si="43"/>
        <v>0</v>
      </c>
      <c r="AM207" s="59">
        <f t="shared" si="43"/>
        <v>0</v>
      </c>
      <c r="AN207" s="59">
        <f t="shared" si="43"/>
        <v>0</v>
      </c>
      <c r="AO207" s="59">
        <f t="shared" si="43"/>
        <v>0</v>
      </c>
      <c r="AP207" s="59">
        <f t="shared" si="43"/>
        <v>0</v>
      </c>
      <c r="AQ207" s="59">
        <f t="shared" si="43"/>
        <v>0</v>
      </c>
      <c r="AR207" s="59">
        <f t="shared" si="43"/>
        <v>0</v>
      </c>
      <c r="AS207" s="59">
        <f>IF(AS192=0,0,AS191-AS192-AS200-AS201)</f>
        <v>0</v>
      </c>
      <c r="AT207" s="59">
        <v>0</v>
      </c>
    </row>
    <row r="208" spans="2:46" s="38" customFormat="1" ht="13.15" x14ac:dyDescent="0.35">
      <c r="B208" s="153"/>
      <c r="C208" s="161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</row>
    <row r="210" spans="2:46" ht="13.15" x14ac:dyDescent="0.35">
      <c r="B210" s="94" t="s">
        <v>183</v>
      </c>
    </row>
    <row r="211" spans="2:46" ht="13.9" thickBot="1" x14ac:dyDescent="0.45">
      <c r="B211" s="116"/>
      <c r="C211" s="14"/>
    </row>
    <row r="212" spans="2:46" ht="13.15" x14ac:dyDescent="0.35">
      <c r="B212" s="117"/>
      <c r="C212" s="118" t="s">
        <v>184</v>
      </c>
      <c r="E212" s="163">
        <f>[2]!s_stmnote_bank_58($C$6,E6,1)/100</f>
        <v>3.9900000000000005E-2</v>
      </c>
      <c r="F212" s="163">
        <f>[2]!s_stmnote_bank_58($C$6,F6,1)/100</f>
        <v>0</v>
      </c>
      <c r="G212" s="163">
        <f>[2]!s_stmnote_bank_58($C$6,G6,1)/100</f>
        <v>4.2500000000000003E-2</v>
      </c>
      <c r="H212" s="163">
        <f>[2]!s_stmnote_bank_58($C$6,H6,1)/100</f>
        <v>0</v>
      </c>
      <c r="I212" s="163">
        <f>[2]!s_stmnote_bank_58($C$6,I6,1)/100</f>
        <v>4.4500000000000005E-2</v>
      </c>
      <c r="J212" s="163">
        <f>[2]!s_stmnote_bank_58($C$6,J6,1)/100</f>
        <v>0</v>
      </c>
      <c r="K212" s="163">
        <f>[2]!s_stmnote_bank_58($C$6,K6,1)/100</f>
        <v>4.9100000000000005E-2</v>
      </c>
      <c r="L212" s="163">
        <f>[2]!s_stmnote_bank_58($C$6,L6,1)/100</f>
        <v>0</v>
      </c>
      <c r="M212" s="163">
        <f>[2]!s_stmnote_bank_58($C$6,M6,1)/100</f>
        <v>4.9400000000000006E-2</v>
      </c>
      <c r="N212" s="163">
        <f>[2]!s_stmnote_bank_58($C$6,N6,1)/100</f>
        <v>0</v>
      </c>
      <c r="O212" s="163">
        <f>[2]!s_stmnote_bank_58($C$6,O6,1)/100</f>
        <v>3.8599999999999995E-2</v>
      </c>
      <c r="P212" s="163">
        <f>[2]!s_stmnote_bank_58($C$6,P6,1)/100</f>
        <v>0</v>
      </c>
      <c r="Q212" s="163">
        <f>[2]!s_stmnote_bank_58($C$6,Q6,1)/100</f>
        <v>3.7400000000000003E-2</v>
      </c>
      <c r="R212" s="163">
        <f>[2]!s_stmnote_bank_58($C$6,R6,1)/100</f>
        <v>0</v>
      </c>
      <c r="S212" s="163">
        <f>[2]!s_stmnote_bank_58($C$6,S6,1)/100</f>
        <v>3.6400000000000002E-2</v>
      </c>
      <c r="T212" s="163">
        <f>[2]!s_stmnote_bank_58($C$6,T6,1)/100</f>
        <v>0</v>
      </c>
      <c r="U212" s="163">
        <f>[2]!s_stmnote_bank_58($C$6,U6,1)/100</f>
        <v>3.7200000000000004E-2</v>
      </c>
      <c r="V212" s="163">
        <f>[2]!s_stmnote_bank_58($C$6,V6,1)/100</f>
        <v>0</v>
      </c>
      <c r="W212" s="163">
        <f>[2]!s_stmnote_bank_58($C$6,W6,1)/100</f>
        <v>4.0599999999999997E-2</v>
      </c>
      <c r="X212" s="163">
        <f>[2]!s_stmnote_bank_58($C$6,X6,1)/100</f>
        <v>0</v>
      </c>
      <c r="Y212" s="163">
        <f>[2]!s_stmnote_bank_58($C$6,Y6,1)/100</f>
        <v>4.2500000000000003E-2</v>
      </c>
      <c r="Z212" s="163">
        <f>[2]!s_stmnote_bank_58($C$6,Z6,1)/100</f>
        <v>0</v>
      </c>
      <c r="AA212" s="163">
        <f>[2]!s_stmnote_bank_58($C$6,AA6,1)/100</f>
        <v>4.6199999999999998E-2</v>
      </c>
      <c r="AB212" s="163">
        <f>[2]!s_stmnote_bank_58($C$6,AB6,1)/100</f>
        <v>0</v>
      </c>
      <c r="AC212" s="163">
        <f>[2]!s_stmnote_bank_58($C$6,AC6,1)/100</f>
        <v>4.5899999999999996E-2</v>
      </c>
      <c r="AD212" s="163">
        <f>[2]!s_stmnote_bank_58($C$6,AD6,1)/100</f>
        <v>0</v>
      </c>
      <c r="AE212" s="163">
        <f>[2]!s_stmnote_bank_58($C$6,AE6,1)/100</f>
        <v>4.4400000000000002E-2</v>
      </c>
      <c r="AF212" s="163">
        <f>[2]!s_stmnote_bank_58($C$6,AF6,1)/100</f>
        <v>0</v>
      </c>
      <c r="AG212" s="163">
        <f>[2]!s_stmnote_bank_58($C$6,AG6,1)/100</f>
        <v>4.4500000000000005E-2</v>
      </c>
      <c r="AH212" s="163"/>
      <c r="AI212" s="164">
        <f>AI171/AI133*2</f>
        <v>4.5125823642004036E-2</v>
      </c>
      <c r="AJ212" s="163"/>
      <c r="AK212" s="164">
        <f>AK171/AK133</f>
        <v>4.5786818974948996E-2</v>
      </c>
      <c r="AL212" s="163"/>
      <c r="AM212" s="164">
        <f>AM171/AM133*2</f>
        <v>4.3463313284122722E-2</v>
      </c>
      <c r="AN212" s="163"/>
      <c r="AO212" s="164">
        <f>AO171/AO133</f>
        <v>4.2421326324643661E-2</v>
      </c>
      <c r="AP212" s="163"/>
      <c r="AQ212" s="164">
        <f>AQ171/AQ133*2</f>
        <v>3.7140690800798334E-2</v>
      </c>
      <c r="AR212" s="163"/>
      <c r="AS212" s="164">
        <f>AS171/AS133</f>
        <v>3.6237393109007442E-2</v>
      </c>
      <c r="AT212" s="163"/>
    </row>
    <row r="213" spans="2:46" ht="13.15" x14ac:dyDescent="0.35">
      <c r="B213" s="117"/>
      <c r="C213" s="141" t="s">
        <v>177</v>
      </c>
      <c r="E213" s="165"/>
      <c r="F213" s="165"/>
      <c r="G213" s="165"/>
      <c r="H213" s="165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  <c r="X213" s="165"/>
      <c r="Y213" s="165"/>
      <c r="Z213" s="165"/>
      <c r="AA213" s="165"/>
      <c r="AB213" s="165"/>
      <c r="AC213" s="165"/>
      <c r="AD213" s="165"/>
      <c r="AE213" s="165"/>
      <c r="AF213" s="165"/>
      <c r="AG213" s="165"/>
      <c r="AH213" s="165"/>
      <c r="AI213" s="165">
        <f>AI172/AI134*2</f>
        <v>5.7539774753617746E-2</v>
      </c>
      <c r="AJ213" s="165"/>
      <c r="AK213" s="165">
        <f>AK172/AK134</f>
        <v>5.8069868990689201E-2</v>
      </c>
      <c r="AL213" s="165"/>
      <c r="AM213" s="165">
        <f>AM172/AM134*2</f>
        <v>5.5027873717256717E-2</v>
      </c>
      <c r="AN213" s="165"/>
      <c r="AO213" s="165">
        <f>AO172/AO134</f>
        <v>5.3116535788127618E-2</v>
      </c>
      <c r="AP213" s="165"/>
      <c r="AQ213" s="165">
        <f>AQ172/AQ134*2</f>
        <v>4.4074131742502264E-2</v>
      </c>
      <c r="AR213" s="165"/>
      <c r="AS213" s="165">
        <f>AS172/AS134</f>
        <v>4.2517762112118114E-2</v>
      </c>
      <c r="AT213" s="165"/>
    </row>
    <row r="214" spans="2:46" ht="13.15" x14ac:dyDescent="0.35">
      <c r="B214" s="99"/>
      <c r="C214" s="122" t="s">
        <v>130</v>
      </c>
      <c r="E214" s="166"/>
      <c r="F214" s="166"/>
      <c r="G214" s="166"/>
      <c r="H214" s="166"/>
      <c r="I214" s="166"/>
      <c r="J214" s="166"/>
      <c r="K214" s="166"/>
      <c r="L214" s="166"/>
      <c r="M214" s="166"/>
      <c r="N214" s="166"/>
      <c r="O214" s="166"/>
      <c r="P214" s="166"/>
      <c r="Q214" s="166"/>
      <c r="R214" s="166"/>
      <c r="S214" s="166"/>
      <c r="T214" s="166"/>
      <c r="U214" s="166"/>
      <c r="V214" s="166"/>
      <c r="W214" s="166"/>
      <c r="X214" s="166"/>
      <c r="Y214" s="166"/>
      <c r="Z214" s="166"/>
      <c r="AA214" s="166"/>
      <c r="AB214" s="166"/>
      <c r="AC214" s="166"/>
      <c r="AD214" s="166"/>
      <c r="AE214" s="166"/>
      <c r="AF214" s="166"/>
      <c r="AG214" s="166"/>
      <c r="AH214" s="166"/>
      <c r="AI214" s="167"/>
      <c r="AJ214" s="166"/>
      <c r="AK214" s="167"/>
      <c r="AL214" s="166"/>
      <c r="AM214" s="166"/>
      <c r="AN214" s="166"/>
      <c r="AO214" s="166"/>
      <c r="AP214" s="166"/>
      <c r="AQ214" s="166"/>
      <c r="AR214" s="166"/>
      <c r="AS214" s="165"/>
      <c r="AT214" s="166"/>
    </row>
    <row r="215" spans="2:46" ht="13.15" x14ac:dyDescent="0.35">
      <c r="B215" s="99"/>
      <c r="C215" s="124" t="s">
        <v>131</v>
      </c>
      <c r="E215" s="165" t="e">
        <f t="shared" ref="E215:AQ218" si="44">E174/E136</f>
        <v>#DIV/0!</v>
      </c>
      <c r="F215" s="165" t="e">
        <f t="shared" si="44"/>
        <v>#DIV/0!</v>
      </c>
      <c r="G215" s="165" t="e">
        <f t="shared" si="44"/>
        <v>#DIV/0!</v>
      </c>
      <c r="H215" s="165" t="e">
        <f t="shared" si="44"/>
        <v>#DIV/0!</v>
      </c>
      <c r="I215" s="165">
        <f t="shared" si="44"/>
        <v>6.3592928845155536E-2</v>
      </c>
      <c r="J215" s="165" t="e">
        <f t="shared" si="44"/>
        <v>#DIV/0!</v>
      </c>
      <c r="K215" s="165">
        <f t="shared" si="44"/>
        <v>3.5187257093845396E-2</v>
      </c>
      <c r="L215" s="165" t="e">
        <f t="shared" si="44"/>
        <v>#DIV/0!</v>
      </c>
      <c r="M215" s="165">
        <f t="shared" si="44"/>
        <v>7.2281195236022278E-2</v>
      </c>
      <c r="N215" s="165" t="e">
        <f t="shared" si="44"/>
        <v>#DIV/0!</v>
      </c>
      <c r="O215" s="165" t="e">
        <f t="shared" si="44"/>
        <v>#DIV/0!</v>
      </c>
      <c r="P215" s="165" t="e">
        <f t="shared" si="44"/>
        <v>#DIV/0!</v>
      </c>
      <c r="Q215" s="165">
        <f t="shared" si="44"/>
        <v>5.7616026191167617E-2</v>
      </c>
      <c r="R215" s="165" t="e">
        <f t="shared" si="44"/>
        <v>#DIV/0!</v>
      </c>
      <c r="S215" s="165">
        <f t="shared" si="44"/>
        <v>2.6052447935807771E-2</v>
      </c>
      <c r="T215" s="165" t="e">
        <f t="shared" si="44"/>
        <v>#DIV/0!</v>
      </c>
      <c r="U215" s="165">
        <f t="shared" si="44"/>
        <v>5.2580627107977562E-2</v>
      </c>
      <c r="V215" s="165" t="e">
        <f t="shared" si="44"/>
        <v>#DIV/0!</v>
      </c>
      <c r="W215" s="165">
        <f t="shared" si="44"/>
        <v>2.7922370286327228E-2</v>
      </c>
      <c r="X215" s="165" t="e">
        <f t="shared" si="44"/>
        <v>#DIV/0!</v>
      </c>
      <c r="Y215" s="165">
        <f t="shared" si="44"/>
        <v>5.9284383576655865E-2</v>
      </c>
      <c r="Z215" s="165" t="e">
        <f t="shared" si="44"/>
        <v>#DIV/0!</v>
      </c>
      <c r="AA215" s="165">
        <f t="shared" si="44"/>
        <v>3.2764670678715205E-2</v>
      </c>
      <c r="AB215" s="165" t="e">
        <f t="shared" si="44"/>
        <v>#DIV/0!</v>
      </c>
      <c r="AC215" s="165">
        <f t="shared" si="44"/>
        <v>6.4872427207104094E-2</v>
      </c>
      <c r="AD215" s="165" t="e">
        <f t="shared" si="44"/>
        <v>#DIV/0!</v>
      </c>
      <c r="AE215" s="165">
        <f t="shared" si="44"/>
        <v>3.0140329071632253E-2</v>
      </c>
      <c r="AF215" s="165" t="e">
        <f t="shared" si="44"/>
        <v>#DIV/0!</v>
      </c>
      <c r="AG215" s="165">
        <f>AG174/AG136</f>
        <v>6.0969059072845208E-2</v>
      </c>
      <c r="AH215" s="165"/>
      <c r="AI215" s="165">
        <f t="shared" si="44"/>
        <v>3.029192030473216E-2</v>
      </c>
      <c r="AJ215" s="165"/>
      <c r="AK215" s="165">
        <f t="shared" si="44"/>
        <v>6.1291686393530338E-2</v>
      </c>
      <c r="AL215" s="165"/>
      <c r="AM215" s="165">
        <f t="shared" si="44"/>
        <v>2.9103774114985492E-2</v>
      </c>
      <c r="AN215" s="165"/>
      <c r="AO215" s="165">
        <f t="shared" si="44"/>
        <v>5.5845801179662334E-2</v>
      </c>
      <c r="AP215" s="165"/>
      <c r="AQ215" s="165">
        <f t="shared" si="44"/>
        <v>2.3489602936266802E-2</v>
      </c>
      <c r="AR215" s="165"/>
      <c r="AS215" s="165">
        <f t="shared" ref="AS215:AS218" si="45">AS174/AS136</f>
        <v>4.577527031546802E-2</v>
      </c>
      <c r="AT215" s="168"/>
    </row>
    <row r="216" spans="2:46" ht="13.15" x14ac:dyDescent="0.35">
      <c r="B216" s="116"/>
      <c r="C216" s="124" t="s">
        <v>150</v>
      </c>
      <c r="E216" s="165" t="e">
        <f t="shared" si="44"/>
        <v>#DIV/0!</v>
      </c>
      <c r="F216" s="165" t="e">
        <f t="shared" si="44"/>
        <v>#DIV/0!</v>
      </c>
      <c r="G216" s="165" t="e">
        <f t="shared" si="44"/>
        <v>#DIV/0!</v>
      </c>
      <c r="H216" s="165" t="e">
        <f t="shared" si="44"/>
        <v>#DIV/0!</v>
      </c>
      <c r="I216" s="165">
        <f t="shared" si="44"/>
        <v>4.0488012804408148E-2</v>
      </c>
      <c r="J216" s="165" t="e">
        <f t="shared" si="44"/>
        <v>#DIV/0!</v>
      </c>
      <c r="K216" s="165">
        <f t="shared" si="44"/>
        <v>3.7412154747729451E-2</v>
      </c>
      <c r="L216" s="165" t="e">
        <f t="shared" si="44"/>
        <v>#DIV/0!</v>
      </c>
      <c r="M216" s="165">
        <f t="shared" si="44"/>
        <v>6.7387304507819684E-2</v>
      </c>
      <c r="N216" s="165" t="e">
        <f t="shared" si="44"/>
        <v>#DIV/0!</v>
      </c>
      <c r="O216" s="165">
        <f t="shared" si="44"/>
        <v>1.2109259362973749E-2</v>
      </c>
      <c r="P216" s="165" t="e">
        <f t="shared" si="44"/>
        <v>#DIV/0!</v>
      </c>
      <c r="Q216" s="165">
        <f t="shared" si="44"/>
        <v>2.3218511873673815E-2</v>
      </c>
      <c r="R216" s="165" t="e">
        <f t="shared" si="44"/>
        <v>#DIV/0!</v>
      </c>
      <c r="S216" s="165">
        <f t="shared" si="44"/>
        <v>1.5917784341257929E-2</v>
      </c>
      <c r="T216" s="165" t="e">
        <f t="shared" si="44"/>
        <v>#DIV/0!</v>
      </c>
      <c r="U216" s="165">
        <f t="shared" si="44"/>
        <v>3.7104356313367726E-2</v>
      </c>
      <c r="V216" s="165" t="e">
        <f t="shared" si="44"/>
        <v>#DIV/0!</v>
      </c>
      <c r="W216" s="165">
        <f t="shared" si="44"/>
        <v>3.9084533175003711E-2</v>
      </c>
      <c r="X216" s="165" t="e">
        <f t="shared" si="44"/>
        <v>#DIV/0!</v>
      </c>
      <c r="Y216" s="165">
        <f t="shared" si="44"/>
        <v>9.2889473968946673E-2</v>
      </c>
      <c r="Z216" s="165" t="e">
        <f t="shared" si="44"/>
        <v>#DIV/0!</v>
      </c>
      <c r="AA216" s="165">
        <f t="shared" si="44"/>
        <v>4.8133812377266043E-2</v>
      </c>
      <c r="AB216" s="165" t="e">
        <f t="shared" si="44"/>
        <v>#DIV/0!</v>
      </c>
      <c r="AC216" s="165">
        <f t="shared" si="44"/>
        <v>7.5355854310282078E-2</v>
      </c>
      <c r="AD216" s="165" t="e">
        <f t="shared" si="44"/>
        <v>#DIV/0!</v>
      </c>
      <c r="AE216" s="165">
        <f t="shared" si="44"/>
        <v>2.861770761839396E-2</v>
      </c>
      <c r="AF216" s="165" t="e">
        <f t="shared" si="44"/>
        <v>#DIV/0!</v>
      </c>
      <c r="AG216" s="165">
        <f t="shared" si="44"/>
        <v>6.0201292608586698E-2</v>
      </c>
      <c r="AH216" s="165"/>
      <c r="AI216" s="165">
        <f t="shared" si="44"/>
        <v>3.2577863504850514E-2</v>
      </c>
      <c r="AJ216" s="165"/>
      <c r="AK216" s="165">
        <f t="shared" si="44"/>
        <v>5.7574429834269115E-2</v>
      </c>
      <c r="AL216" s="165"/>
      <c r="AM216" s="165">
        <f t="shared" si="44"/>
        <v>2.5639515427347569E-2</v>
      </c>
      <c r="AN216" s="165"/>
      <c r="AO216" s="165">
        <f t="shared" si="44"/>
        <v>4.5334123107607517E-2</v>
      </c>
      <c r="AP216" s="165"/>
      <c r="AQ216" s="165">
        <f t="shared" si="44"/>
        <v>1.7769013371578015E-2</v>
      </c>
      <c r="AR216" s="165"/>
      <c r="AS216" s="165">
        <f t="shared" si="45"/>
        <v>3.2605280972952087E-2</v>
      </c>
      <c r="AT216" s="168"/>
    </row>
    <row r="217" spans="2:46" ht="13.15" x14ac:dyDescent="0.35">
      <c r="B217" s="116"/>
      <c r="C217" s="125" t="s">
        <v>151</v>
      </c>
      <c r="E217" s="165" t="e">
        <f t="shared" si="44"/>
        <v>#DIV/0!</v>
      </c>
      <c r="F217" s="165" t="e">
        <f t="shared" si="44"/>
        <v>#DIV/0!</v>
      </c>
      <c r="G217" s="165" t="e">
        <f t="shared" si="44"/>
        <v>#DIV/0!</v>
      </c>
      <c r="H217" s="165" t="e">
        <f t="shared" si="44"/>
        <v>#DIV/0!</v>
      </c>
      <c r="I217" s="165">
        <f t="shared" si="44"/>
        <v>6.3043000358361412E-2</v>
      </c>
      <c r="J217" s="165" t="e">
        <f t="shared" si="44"/>
        <v>#DIV/0!</v>
      </c>
      <c r="K217" s="165">
        <f t="shared" si="44"/>
        <v>3.5567834774388594E-2</v>
      </c>
      <c r="L217" s="165" t="e">
        <f t="shared" si="44"/>
        <v>#DIV/0!</v>
      </c>
      <c r="M217" s="165">
        <f t="shared" si="44"/>
        <v>7.1258329013771979E-2</v>
      </c>
      <c r="N217" s="165" t="e">
        <f t="shared" si="44"/>
        <v>#DIV/0!</v>
      </c>
      <c r="O217" s="165" t="e">
        <f t="shared" si="44"/>
        <v>#DIV/0!</v>
      </c>
      <c r="P217" s="165" t="e">
        <f t="shared" si="44"/>
        <v>#DIV/0!</v>
      </c>
      <c r="Q217" s="165">
        <f t="shared" si="44"/>
        <v>4.9272632406532527E-2</v>
      </c>
      <c r="R217" s="165" t="e">
        <f t="shared" si="44"/>
        <v>#DIV/0!</v>
      </c>
      <c r="S217" s="165">
        <f t="shared" si="44"/>
        <v>2.3746649061737287E-2</v>
      </c>
      <c r="T217" s="165" t="e">
        <f t="shared" si="44"/>
        <v>#DIV/0!</v>
      </c>
      <c r="U217" s="165">
        <f t="shared" si="44"/>
        <v>4.7655105048567882E-2</v>
      </c>
      <c r="V217" s="165" t="e">
        <f t="shared" si="44"/>
        <v>#DIV/0!</v>
      </c>
      <c r="W217" s="165">
        <f t="shared" si="44"/>
        <v>2.5912432175600384E-2</v>
      </c>
      <c r="X217" s="165" t="e">
        <f t="shared" si="44"/>
        <v>#DIV/0!</v>
      </c>
      <c r="Y217" s="165">
        <f t="shared" si="44"/>
        <v>5.3052771976623787E-2</v>
      </c>
      <c r="Z217" s="165" t="e">
        <f t="shared" si="44"/>
        <v>#DIV/0!</v>
      </c>
      <c r="AA217" s="165">
        <f t="shared" si="44"/>
        <v>2.9897630395875216E-2</v>
      </c>
      <c r="AB217" s="165" t="e">
        <f t="shared" si="44"/>
        <v>#DIV/0!</v>
      </c>
      <c r="AC217" s="165">
        <f t="shared" si="44"/>
        <v>5.9911172844269535E-2</v>
      </c>
      <c r="AD217" s="165" t="e">
        <f t="shared" si="44"/>
        <v>#DIV/0!</v>
      </c>
      <c r="AE217" s="165">
        <f t="shared" si="44"/>
        <v>2.7836691078670216E-2</v>
      </c>
      <c r="AF217" s="165" t="e">
        <f t="shared" si="44"/>
        <v>#DIV/0!</v>
      </c>
      <c r="AG217" s="165">
        <f t="shared" si="44"/>
        <v>5.6023766112889034E-2</v>
      </c>
      <c r="AH217" s="165"/>
      <c r="AI217" s="165">
        <f t="shared" si="44"/>
        <v>2.7957452950853553E-2</v>
      </c>
      <c r="AJ217" s="165"/>
      <c r="AK217" s="165">
        <f t="shared" si="44"/>
        <v>5.6506913087198213E-2</v>
      </c>
      <c r="AL217" s="165"/>
      <c r="AM217" s="165">
        <f t="shared" si="44"/>
        <v>2.6648198360402445E-2</v>
      </c>
      <c r="AN217" s="165"/>
      <c r="AO217" s="165">
        <f t="shared" si="44"/>
        <v>5.3248883871871093E-2</v>
      </c>
      <c r="AP217" s="165"/>
      <c r="AQ217" s="165">
        <f t="shared" si="44"/>
        <v>2.1001861898485578E-2</v>
      </c>
      <c r="AR217" s="165"/>
      <c r="AS217" s="165">
        <f t="shared" si="45"/>
        <v>4.1373405429160147E-2</v>
      </c>
      <c r="AT217" s="169"/>
    </row>
    <row r="218" spans="2:46" ht="13.15" x14ac:dyDescent="0.35">
      <c r="B218" s="116"/>
      <c r="C218" s="170" t="s">
        <v>152</v>
      </c>
      <c r="E218" s="166"/>
      <c r="F218" s="166"/>
      <c r="G218" s="166"/>
      <c r="H218" s="166"/>
      <c r="I218" s="166"/>
      <c r="J218" s="166"/>
      <c r="K218" s="166"/>
      <c r="L218" s="166"/>
      <c r="M218" s="166"/>
      <c r="N218" s="166"/>
      <c r="O218" s="166"/>
      <c r="P218" s="166"/>
      <c r="Q218" s="166"/>
      <c r="R218" s="166"/>
      <c r="S218" s="166"/>
      <c r="T218" s="166"/>
      <c r="U218" s="166"/>
      <c r="V218" s="166"/>
      <c r="W218" s="166"/>
      <c r="X218" s="166"/>
      <c r="Y218" s="166"/>
      <c r="Z218" s="166"/>
      <c r="AA218" s="166"/>
      <c r="AB218" s="166"/>
      <c r="AC218" s="166"/>
      <c r="AD218" s="166"/>
      <c r="AE218" s="166"/>
      <c r="AF218" s="166"/>
      <c r="AG218" s="166"/>
      <c r="AH218" s="166"/>
      <c r="AI218" s="167">
        <f>AI177/AI139*2</f>
        <v>3.8684816097356536E-2</v>
      </c>
      <c r="AJ218" s="166"/>
      <c r="AK218" s="167">
        <f t="shared" si="44"/>
        <v>3.9343758499649578E-2</v>
      </c>
      <c r="AL218" s="166"/>
      <c r="AM218" s="167">
        <f t="shared" ref="AM218:AQ218" si="46">AM177/AM139*2</f>
        <v>3.9653192860564082E-2</v>
      </c>
      <c r="AN218" s="166"/>
      <c r="AO218" s="167">
        <f t="shared" si="44"/>
        <v>3.9424194856367188E-2</v>
      </c>
      <c r="AP218" s="166"/>
      <c r="AQ218" s="167">
        <f t="shared" si="46"/>
        <v>3.6669348293563074E-2</v>
      </c>
      <c r="AR218" s="166"/>
      <c r="AS218" s="167">
        <f t="shared" si="45"/>
        <v>3.6514255857638518E-2</v>
      </c>
      <c r="AT218" s="166"/>
    </row>
    <row r="219" spans="2:46" ht="13.15" x14ac:dyDescent="0.35">
      <c r="B219" s="116"/>
      <c r="C219" s="124" t="s">
        <v>153</v>
      </c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L219" s="168"/>
      <c r="AM219" s="168"/>
      <c r="AN219" s="168"/>
      <c r="AO219" s="168"/>
      <c r="AP219" s="168"/>
      <c r="AQ219" s="168"/>
      <c r="AR219" s="168"/>
      <c r="AS219" s="168"/>
      <c r="AT219" s="168"/>
    </row>
    <row r="220" spans="2:46" ht="13.15" x14ac:dyDescent="0.35">
      <c r="B220" s="116"/>
      <c r="C220" s="124" t="s">
        <v>154</v>
      </c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L220" s="168"/>
      <c r="AM220" s="168"/>
      <c r="AN220" s="168"/>
      <c r="AO220" s="168"/>
      <c r="AP220" s="168"/>
      <c r="AQ220" s="168"/>
      <c r="AR220" s="168"/>
      <c r="AS220" s="168"/>
      <c r="AT220" s="168"/>
    </row>
    <row r="221" spans="2:46" ht="13.15" x14ac:dyDescent="0.35">
      <c r="B221" s="116"/>
      <c r="C221" s="128" t="s">
        <v>155</v>
      </c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L221" s="168"/>
      <c r="AM221" s="168"/>
      <c r="AN221" s="168"/>
      <c r="AO221" s="168"/>
      <c r="AP221" s="168"/>
      <c r="AQ221" s="168"/>
      <c r="AR221" s="168"/>
      <c r="AS221" s="168"/>
      <c r="AT221" s="168"/>
    </row>
    <row r="222" spans="2:46" ht="13.15" x14ac:dyDescent="0.35">
      <c r="B222" s="116"/>
      <c r="C222" s="125" t="s">
        <v>156</v>
      </c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  <c r="AQ222" s="169"/>
      <c r="AR222" s="169"/>
      <c r="AS222" s="169"/>
      <c r="AT222" s="169"/>
    </row>
    <row r="223" spans="2:46" ht="13.15" x14ac:dyDescent="0.35">
      <c r="B223" s="116"/>
      <c r="C223" s="170" t="s">
        <v>157</v>
      </c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67">
        <f t="shared" ref="AC223:AC224" si="47">AC182/AC144</f>
        <v>1.5746517488338847E-2</v>
      </c>
      <c r="AD223" s="171"/>
      <c r="AE223" s="171"/>
      <c r="AF223" s="171"/>
      <c r="AG223" s="167">
        <f t="shared" ref="AG223:AG224" si="48">AG182/AG144</f>
        <v>1.5772349999358524E-2</v>
      </c>
      <c r="AH223" s="171"/>
      <c r="AI223" s="167">
        <f t="shared" ref="AI223:AI224" si="49">AI182/AI144*2</f>
        <v>1.555607128284903E-2</v>
      </c>
      <c r="AJ223" s="166"/>
      <c r="AK223" s="167">
        <f t="shared" ref="AK223:AK224" si="50">AK182/AK144</f>
        <v>1.56684851142267E-2</v>
      </c>
      <c r="AL223" s="166"/>
      <c r="AM223" s="167">
        <f t="shared" ref="AM223:AQ224" si="51">AM182/AM144*2</f>
        <v>1.4861949460407907E-2</v>
      </c>
      <c r="AN223" s="166"/>
      <c r="AO223" s="167">
        <f t="shared" ref="AO223:AS224" si="52">AO182/AO144</f>
        <v>1.5140300901895961E-2</v>
      </c>
      <c r="AP223" s="166"/>
      <c r="AQ223" s="167">
        <f t="shared" si="51"/>
        <v>1.5346868899743207E-2</v>
      </c>
      <c r="AR223" s="166"/>
      <c r="AS223" s="167">
        <f t="shared" si="52"/>
        <v>1.5326903384385275E-2</v>
      </c>
      <c r="AT223" s="171"/>
    </row>
    <row r="224" spans="2:46" ht="13.15" x14ac:dyDescent="0.35">
      <c r="B224" s="116"/>
      <c r="C224" s="141" t="s">
        <v>158</v>
      </c>
      <c r="E224" s="165"/>
      <c r="F224" s="165"/>
      <c r="G224" s="165"/>
      <c r="H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7">
        <f t="shared" si="47"/>
        <v>2.5383411140484091E-2</v>
      </c>
      <c r="AD224" s="165"/>
      <c r="AE224" s="165"/>
      <c r="AF224" s="165"/>
      <c r="AG224" s="167">
        <f t="shared" si="48"/>
        <v>2.6924934778279157E-2</v>
      </c>
      <c r="AH224" s="165"/>
      <c r="AI224" s="167">
        <f t="shared" si="49"/>
        <v>3.0899276267774146E-2</v>
      </c>
      <c r="AJ224" s="165"/>
      <c r="AK224" s="167">
        <f t="shared" si="50"/>
        <v>3.2354844758442566E-2</v>
      </c>
      <c r="AL224" s="166"/>
      <c r="AM224" s="167">
        <f t="shared" si="51"/>
        <v>2.769988824931267E-2</v>
      </c>
      <c r="AN224" s="166"/>
      <c r="AO224" s="167">
        <f t="shared" si="52"/>
        <v>2.5226491613492975E-2</v>
      </c>
      <c r="AP224" s="166"/>
      <c r="AQ224" s="167">
        <f t="shared" si="51"/>
        <v>2.1800485210480836E-2</v>
      </c>
      <c r="AR224" s="166"/>
      <c r="AS224" s="167">
        <f t="shared" si="52"/>
        <v>2.2152546321374429E-2</v>
      </c>
      <c r="AT224" s="165"/>
    </row>
    <row r="225" spans="2:46" ht="13.15" x14ac:dyDescent="0.35">
      <c r="B225" s="150"/>
      <c r="C225" s="124" t="s">
        <v>159</v>
      </c>
      <c r="E225" s="166"/>
      <c r="F225" s="166"/>
      <c r="G225" s="166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  <c r="AQ225" s="166"/>
      <c r="AR225" s="166"/>
      <c r="AS225" s="166"/>
      <c r="AT225" s="166"/>
    </row>
    <row r="226" spans="2:46" ht="13.15" x14ac:dyDescent="0.35">
      <c r="B226" s="116"/>
      <c r="C226" s="124" t="s">
        <v>42</v>
      </c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  <c r="AA226" s="168"/>
      <c r="AB226" s="168"/>
      <c r="AC226" s="168"/>
      <c r="AD226" s="168"/>
      <c r="AE226" s="168"/>
      <c r="AF226" s="168"/>
      <c r="AG226" s="168"/>
      <c r="AH226" s="168"/>
      <c r="AI226" s="168"/>
      <c r="AJ226" s="168"/>
      <c r="AK226" s="168"/>
      <c r="AL226" s="168"/>
      <c r="AM226" s="168"/>
      <c r="AN226" s="168"/>
      <c r="AO226" s="168"/>
      <c r="AP226" s="168"/>
      <c r="AQ226" s="168"/>
      <c r="AR226" s="168"/>
      <c r="AS226" s="168"/>
      <c r="AT226" s="168"/>
    </row>
    <row r="227" spans="2:46" ht="13.15" x14ac:dyDescent="0.35">
      <c r="B227" s="116"/>
      <c r="C227" s="125" t="s">
        <v>160</v>
      </c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K227" s="169"/>
      <c r="AL227" s="169"/>
      <c r="AM227" s="169"/>
      <c r="AN227" s="169"/>
      <c r="AO227" s="169"/>
      <c r="AP227" s="169"/>
      <c r="AQ227" s="169"/>
      <c r="AR227" s="169"/>
      <c r="AS227" s="169"/>
      <c r="AT227" s="169"/>
    </row>
    <row r="228" spans="2:46" ht="13.5" thickBot="1" x14ac:dyDescent="0.4">
      <c r="B228" s="116"/>
      <c r="C228" s="133" t="s">
        <v>185</v>
      </c>
      <c r="E228" s="172"/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  <c r="P228" s="172"/>
      <c r="Q228" s="172"/>
      <c r="R228" s="172"/>
      <c r="S228" s="172"/>
      <c r="T228" s="172"/>
      <c r="U228" s="172"/>
      <c r="V228" s="172"/>
      <c r="W228" s="172"/>
      <c r="X228" s="172"/>
      <c r="Y228" s="172"/>
      <c r="Z228" s="172"/>
      <c r="AA228" s="172"/>
      <c r="AB228" s="172"/>
      <c r="AC228" s="172"/>
      <c r="AD228" s="172"/>
      <c r="AE228" s="172"/>
      <c r="AF228" s="172"/>
      <c r="AG228" s="172"/>
      <c r="AH228" s="172"/>
      <c r="AI228" s="172"/>
      <c r="AJ228" s="172"/>
      <c r="AK228" s="172"/>
      <c r="AL228" s="172"/>
      <c r="AM228" s="172"/>
      <c r="AN228" s="172"/>
      <c r="AO228" s="172"/>
      <c r="AP228" s="172"/>
      <c r="AQ228" s="172"/>
      <c r="AR228" s="172"/>
      <c r="AS228" s="172"/>
      <c r="AT228" s="172"/>
    </row>
    <row r="229" spans="2:46" ht="13.15" x14ac:dyDescent="0.35">
      <c r="B229" s="116"/>
      <c r="C229" s="114"/>
    </row>
    <row r="230" spans="2:46" ht="13.15" thickBot="1" x14ac:dyDescent="0.4">
      <c r="B230" s="135"/>
      <c r="C230" s="136"/>
    </row>
    <row r="231" spans="2:46" ht="13.15" x14ac:dyDescent="0.35">
      <c r="B231" s="116"/>
      <c r="C231" s="141" t="s">
        <v>186</v>
      </c>
      <c r="E231" s="173">
        <f>[2]!s_stmnote_bank_60($C$6,E6,1)/100</f>
        <v>1.7000000000000001E-2</v>
      </c>
      <c r="F231" s="173">
        <f>[2]!s_stmnote_bank_60($C$6,F6,1)/100</f>
        <v>0</v>
      </c>
      <c r="G231" s="173">
        <f>[2]!s_stmnote_bank_60($C$6,G6,1)/100</f>
        <v>1.7100000000000001E-2</v>
      </c>
      <c r="H231" s="173">
        <f>[2]!s_stmnote_bank_60($C$6,H6,1)/100</f>
        <v>0</v>
      </c>
      <c r="I231" s="173">
        <f>[2]!s_stmnote_bank_60($C$6,I6,1)/100</f>
        <v>1.78E-2</v>
      </c>
      <c r="J231" s="173">
        <f>[2]!s_stmnote_bank_60($C$6,J6,1)/100</f>
        <v>0</v>
      </c>
      <c r="K231" s="173">
        <f>[2]!s_stmnote_bank_60($C$6,K6,1)/100</f>
        <v>2.0299999999999999E-2</v>
      </c>
      <c r="L231" s="173">
        <f>[2]!s_stmnote_bank_60($C$6,L6,1)/100</f>
        <v>0</v>
      </c>
      <c r="M231" s="173">
        <f>[2]!s_stmnote_bank_60($C$6,M6,1)/100</f>
        <v>2.1400000000000002E-2</v>
      </c>
      <c r="N231" s="173">
        <f>[2]!s_stmnote_bank_60($C$6,N6,1)/100</f>
        <v>0</v>
      </c>
      <c r="O231" s="173">
        <f>[2]!s_stmnote_bank_60($C$6,O6,1)/100</f>
        <v>1.7299999999999999E-2</v>
      </c>
      <c r="P231" s="173">
        <f>[2]!s_stmnote_bank_60($C$6,P6,1)/100</f>
        <v>0</v>
      </c>
      <c r="Q231" s="173">
        <f>[2]!s_stmnote_bank_60($C$6,Q6,1)/100</f>
        <v>1.5800000000000002E-2</v>
      </c>
      <c r="R231" s="173">
        <f>[2]!s_stmnote_bank_60($C$6,R6,1)/100</f>
        <v>0</v>
      </c>
      <c r="S231" s="173">
        <f>[2]!s_stmnote_bank_60($C$6,S6,1)/100</f>
        <v>1.3600000000000001E-2</v>
      </c>
      <c r="T231" s="173">
        <f>[2]!s_stmnote_bank_60($C$6,T6,1)/100</f>
        <v>0</v>
      </c>
      <c r="U231" s="173">
        <f>[2]!s_stmnote_bank_60($C$6,U6,1)/100</f>
        <v>1.37E-2</v>
      </c>
      <c r="V231" s="173">
        <f>[2]!s_stmnote_bank_60($C$6,V6,1)/100</f>
        <v>0</v>
      </c>
      <c r="W231" s="173">
        <f>[2]!s_stmnote_bank_60($C$6,W6,1)/100</f>
        <v>1.5700000000000002E-2</v>
      </c>
      <c r="X231" s="173">
        <f>[2]!s_stmnote_bank_60($C$6,X6,1)/100</f>
        <v>0</v>
      </c>
      <c r="Y231" s="173">
        <f>[2]!s_stmnote_bank_60($C$6,Y6,1)/100</f>
        <v>1.7600000000000001E-2</v>
      </c>
      <c r="Z231" s="173">
        <f>[2]!s_stmnote_bank_60($C$6,Z6,1)/100</f>
        <v>0</v>
      </c>
      <c r="AA231" s="173">
        <f>[2]!s_stmnote_bank_60($C$6,AA6,1)/100</f>
        <v>2.1400000000000002E-2</v>
      </c>
      <c r="AB231" s="173">
        <f>[2]!s_stmnote_bank_60($C$6,AB6,1)/100</f>
        <v>0</v>
      </c>
      <c r="AC231" s="173">
        <f>[2]!s_stmnote_bank_60($C$6,AC6,1)/100</f>
        <v>2.1000000000000001E-2</v>
      </c>
      <c r="AD231" s="173">
        <f>[2]!s_stmnote_bank_60($C$6,AD6,1)/100</f>
        <v>0</v>
      </c>
      <c r="AE231" s="173">
        <f>[2]!s_stmnote_bank_60($C$6,AE6,1)/100</f>
        <v>2.0299999999999999E-2</v>
      </c>
      <c r="AF231" s="173">
        <f>[2]!s_stmnote_bank_60($C$6,AF6,1)/100</f>
        <v>0</v>
      </c>
      <c r="AG231" s="173">
        <f>[2]!s_stmnote_bank_60($C$6,AG6,1)/100</f>
        <v>2.0499999999999997E-2</v>
      </c>
      <c r="AH231" s="173"/>
      <c r="AI231" s="173">
        <f>[2]!s_stmnote_bank_60($C$6,AI6,1)/100</f>
        <v>2.12E-2</v>
      </c>
      <c r="AJ231" s="173"/>
      <c r="AK231" s="173">
        <f>[2]!s_stmnote_bank_60($C$6,AK6,1)/100</f>
        <v>2.12E-2</v>
      </c>
      <c r="AL231" s="173"/>
      <c r="AM231" s="173">
        <f>[2]!s_stmnote_bank_60($C$6,AM6,1)/100</f>
        <v>2.0400000000000001E-2</v>
      </c>
      <c r="AN231" s="173"/>
      <c r="AO231" s="173">
        <f>[2]!s_stmnote_bank_60($C$6,AO6,1)/100</f>
        <v>1.9400000000000001E-2</v>
      </c>
      <c r="AP231" s="173"/>
      <c r="AQ231" s="173">
        <f>[2]!s_stmnote_bank_60($C$6,AQ6,1)/100</f>
        <v>1.66E-2</v>
      </c>
      <c r="AR231" s="173"/>
      <c r="AS231" s="173">
        <f>[2]!s_stmnote_bank_60($C$6,AS6,1)/100</f>
        <v>1.6E-2</v>
      </c>
      <c r="AT231" s="173"/>
    </row>
    <row r="232" spans="2:46" ht="13.15" x14ac:dyDescent="0.35">
      <c r="B232" s="116"/>
      <c r="C232" s="174" t="s">
        <v>163</v>
      </c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67">
        <f>-AC192/AC153</f>
        <v>2.047176946585624E-2</v>
      </c>
      <c r="AD232" s="175"/>
      <c r="AE232" s="175"/>
      <c r="AF232" s="175"/>
      <c r="AG232" s="167">
        <f>-AG192/AG153</f>
        <v>2.0359519745046645E-2</v>
      </c>
      <c r="AH232" s="167"/>
      <c r="AI232" s="167">
        <f>-AI192/AI153*2</f>
        <v>2.0343407573886203E-2</v>
      </c>
      <c r="AJ232" s="167"/>
      <c r="AK232" s="167">
        <f>-AK192/AK153</f>
        <v>2.0437254883998082E-2</v>
      </c>
      <c r="AL232" s="167"/>
      <c r="AM232" s="167">
        <f t="shared" ref="AM232" si="53">-AM192/AM153*2</f>
        <v>1.9994032221268818E-2</v>
      </c>
      <c r="AN232" s="167"/>
      <c r="AO232" s="167">
        <f t="shared" ref="AO232" si="54">-AO192/AO153</f>
        <v>1.9128622898979035E-2</v>
      </c>
      <c r="AP232" s="167"/>
      <c r="AQ232" s="167">
        <f t="shared" ref="AQ232" si="55">-AQ192/AQ153*2</f>
        <v>1.5875263016073997E-2</v>
      </c>
      <c r="AR232" s="167"/>
      <c r="AS232" s="167">
        <f>-AS192/AS153</f>
        <v>1.5276803413756802E-2</v>
      </c>
      <c r="AT232" s="167"/>
    </row>
    <row r="233" spans="2:46" s="76" customFormat="1" ht="13.15" x14ac:dyDescent="0.35">
      <c r="B233" s="117"/>
      <c r="C233" s="128" t="s">
        <v>138</v>
      </c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L233" s="168"/>
      <c r="AM233" s="168"/>
      <c r="AN233" s="168"/>
      <c r="AO233" s="168"/>
      <c r="AP233" s="168"/>
      <c r="AQ233" s="168"/>
      <c r="AR233" s="168"/>
      <c r="AS233" s="171"/>
      <c r="AT233" s="168"/>
    </row>
    <row r="234" spans="2:46" s="76" customFormat="1" ht="13.15" x14ac:dyDescent="0.35">
      <c r="B234" s="117"/>
      <c r="C234" s="128" t="s">
        <v>164</v>
      </c>
      <c r="E234" s="171" t="e">
        <f t="shared" ref="E234:AQ238" si="56">-E194/E155</f>
        <v>#DIV/0!</v>
      </c>
      <c r="F234" s="171" t="e">
        <f t="shared" si="56"/>
        <v>#DIV/0!</v>
      </c>
      <c r="G234" s="171" t="e">
        <f>-G194/G155</f>
        <v>#DIV/0!</v>
      </c>
      <c r="H234" s="171" t="e">
        <f t="shared" si="56"/>
        <v>#DIV/0!</v>
      </c>
      <c r="I234" s="171">
        <f t="shared" si="56"/>
        <v>9.8541555786323485E-3</v>
      </c>
      <c r="J234" s="171" t="e">
        <f t="shared" si="56"/>
        <v>#DIV/0!</v>
      </c>
      <c r="K234" s="171">
        <f t="shared" si="56"/>
        <v>5.1071715803171873E-3</v>
      </c>
      <c r="L234" s="171" t="e">
        <f t="shared" si="56"/>
        <v>#DIV/0!</v>
      </c>
      <c r="M234" s="171">
        <f t="shared" si="56"/>
        <v>1.0132255007721844E-2</v>
      </c>
      <c r="N234" s="171" t="e">
        <f t="shared" si="56"/>
        <v>#DIV/0!</v>
      </c>
      <c r="O234" s="171">
        <f t="shared" si="56"/>
        <v>3.07610903595819E-3</v>
      </c>
      <c r="P234" s="171" t="e">
        <f t="shared" si="56"/>
        <v>#DIV/0!</v>
      </c>
      <c r="Q234" s="171">
        <f t="shared" si="56"/>
        <v>6.3383778890344277E-3</v>
      </c>
      <c r="R234" s="171" t="e">
        <f t="shared" si="56"/>
        <v>#DIV/0!</v>
      </c>
      <c r="S234" s="171">
        <f t="shared" si="56"/>
        <v>3.1249278535661297E-3</v>
      </c>
      <c r="T234" s="171" t="e">
        <f t="shared" si="56"/>
        <v>#DIV/0!</v>
      </c>
      <c r="U234" s="171">
        <f t="shared" si="56"/>
        <v>6.3458694252514179E-3</v>
      </c>
      <c r="V234" s="171" t="e">
        <f t="shared" si="56"/>
        <v>#DIV/0!</v>
      </c>
      <c r="W234" s="171">
        <f t="shared" si="56"/>
        <v>3.7749336667400198E-3</v>
      </c>
      <c r="X234" s="171" t="e">
        <f t="shared" si="56"/>
        <v>#DIV/0!</v>
      </c>
      <c r="Y234" s="171">
        <f t="shared" si="56"/>
        <v>8.0631964504113973E-3</v>
      </c>
      <c r="Z234" s="171" t="e">
        <f t="shared" si="56"/>
        <v>#DIV/0!</v>
      </c>
      <c r="AA234" s="171">
        <f t="shared" si="56"/>
        <v>4.3098510962809901E-3</v>
      </c>
      <c r="AB234" s="171" t="e">
        <f t="shared" si="56"/>
        <v>#DIV/0!</v>
      </c>
      <c r="AC234" s="171">
        <f t="shared" si="56"/>
        <v>8.1913760181286602E-3</v>
      </c>
      <c r="AD234" s="171"/>
      <c r="AE234" s="171">
        <f t="shared" si="56"/>
        <v>3.6174908915238011E-3</v>
      </c>
      <c r="AF234" s="171"/>
      <c r="AG234" s="171">
        <f t="shared" si="56"/>
        <v>7.5448204068114984E-3</v>
      </c>
      <c r="AH234" s="171"/>
      <c r="AI234" s="171">
        <f t="shared" si="56"/>
        <v>3.867917311096643E-3</v>
      </c>
      <c r="AJ234" s="171"/>
      <c r="AK234" s="171">
        <f t="shared" si="56"/>
        <v>7.8613830865444951E-3</v>
      </c>
      <c r="AL234" s="171"/>
      <c r="AM234" s="171">
        <f t="shared" si="56"/>
        <v>3.811327811282478E-3</v>
      </c>
      <c r="AN234" s="171"/>
      <c r="AO234" s="171">
        <f t="shared" si="56"/>
        <v>7.3324830213038162E-3</v>
      </c>
      <c r="AP234" s="171"/>
      <c r="AQ234" s="171">
        <f t="shared" si="56"/>
        <v>3.1859355200483685E-3</v>
      </c>
      <c r="AR234" s="171"/>
      <c r="AS234" s="171">
        <f t="shared" ref="AS234:AS238" si="57">-AS194/AS155</f>
        <v>6.6259575709911398E-3</v>
      </c>
      <c r="AT234" s="168"/>
    </row>
    <row r="235" spans="2:46" s="76" customFormat="1" ht="13.15" x14ac:dyDescent="0.35">
      <c r="B235" s="117"/>
      <c r="C235" s="128" t="s">
        <v>165</v>
      </c>
      <c r="E235" s="171" t="e">
        <f t="shared" si="56"/>
        <v>#DIV/0!</v>
      </c>
      <c r="F235" s="171" t="e">
        <f t="shared" si="56"/>
        <v>#DIV/0!</v>
      </c>
      <c r="G235" s="171" t="e">
        <f t="shared" si="56"/>
        <v>#DIV/0!</v>
      </c>
      <c r="H235" s="171" t="e">
        <f t="shared" si="56"/>
        <v>#DIV/0!</v>
      </c>
      <c r="I235" s="171">
        <f t="shared" si="56"/>
        <v>8.0485410589944857E-3</v>
      </c>
      <c r="J235" s="171" t="e">
        <f t="shared" si="56"/>
        <v>#DIV/0!</v>
      </c>
      <c r="K235" s="171">
        <f t="shared" si="56"/>
        <v>3.6064627813040969E-3</v>
      </c>
      <c r="L235" s="171" t="e">
        <f t="shared" si="56"/>
        <v>#DIV/0!</v>
      </c>
      <c r="M235" s="171">
        <f t="shared" si="56"/>
        <v>5.9250585480093675E-3</v>
      </c>
      <c r="N235" s="171" t="e">
        <f t="shared" si="56"/>
        <v>#DIV/0!</v>
      </c>
      <c r="O235" s="171">
        <f t="shared" si="56"/>
        <v>1.8224336189953127E-3</v>
      </c>
      <c r="P235" s="171" t="e">
        <f t="shared" si="56"/>
        <v>#DIV/0!</v>
      </c>
      <c r="Q235" s="171">
        <f t="shared" si="56"/>
        <v>3.6209900364245064E-3</v>
      </c>
      <c r="R235" s="171" t="e">
        <f t="shared" si="56"/>
        <v>#DIV/0!</v>
      </c>
      <c r="S235" s="171">
        <f t="shared" si="56"/>
        <v>1.8000004167873613E-3</v>
      </c>
      <c r="T235" s="171" t="e">
        <f t="shared" si="56"/>
        <v>#DIV/0!</v>
      </c>
      <c r="U235" s="171">
        <f t="shared" si="56"/>
        <v>3.7100882496719583E-3</v>
      </c>
      <c r="V235" s="171" t="e">
        <f t="shared" si="56"/>
        <v>#DIV/0!</v>
      </c>
      <c r="W235" s="171">
        <f t="shared" si="56"/>
        <v>2.4052949337791097E-3</v>
      </c>
      <c r="X235" s="171" t="e">
        <f t="shared" si="56"/>
        <v>#DIV/0!</v>
      </c>
      <c r="Y235" s="171">
        <f t="shared" si="56"/>
        <v>4.858144282739168E-3</v>
      </c>
      <c r="Z235" s="171" t="e">
        <f t="shared" si="56"/>
        <v>#DIV/0!</v>
      </c>
      <c r="AA235" s="171">
        <f t="shared" si="56"/>
        <v>2.2965508599740764E-3</v>
      </c>
      <c r="AB235" s="171" t="e">
        <f t="shared" si="56"/>
        <v>#DIV/0!</v>
      </c>
      <c r="AC235" s="171">
        <f t="shared" si="56"/>
        <v>3.9789938448507147E-3</v>
      </c>
      <c r="AD235" s="171"/>
      <c r="AE235" s="171">
        <f t="shared" si="56"/>
        <v>1.7364339759635356E-3</v>
      </c>
      <c r="AF235" s="171"/>
      <c r="AG235" s="171">
        <f t="shared" si="56"/>
        <v>3.5210878750818911E-3</v>
      </c>
      <c r="AH235" s="171"/>
      <c r="AI235" s="171">
        <f t="shared" si="56"/>
        <v>1.7328324227706717E-3</v>
      </c>
      <c r="AJ235" s="171"/>
      <c r="AK235" s="171">
        <f t="shared" si="56"/>
        <v>3.4980907186432041E-3</v>
      </c>
      <c r="AL235" s="171"/>
      <c r="AM235" s="171">
        <f t="shared" si="56"/>
        <v>1.7339333746483627E-3</v>
      </c>
      <c r="AN235" s="171"/>
      <c r="AO235" s="171">
        <f t="shared" si="56"/>
        <v>3.3336047735151027E-3</v>
      </c>
      <c r="AP235" s="171"/>
      <c r="AQ235" s="171">
        <f t="shared" si="56"/>
        <v>1.4993925403251689E-3</v>
      </c>
      <c r="AR235" s="171"/>
      <c r="AS235" s="171">
        <f t="shared" si="57"/>
        <v>3.0800030576231168E-3</v>
      </c>
      <c r="AT235" s="168"/>
    </row>
    <row r="236" spans="2:46" s="76" customFormat="1" ht="13.15" x14ac:dyDescent="0.35">
      <c r="B236" s="117"/>
      <c r="C236" s="128" t="s">
        <v>141</v>
      </c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68"/>
    </row>
    <row r="237" spans="2:46" s="76" customFormat="1" ht="13.15" x14ac:dyDescent="0.35">
      <c r="B237" s="117"/>
      <c r="C237" s="128" t="s">
        <v>166</v>
      </c>
      <c r="E237" s="171" t="e">
        <f t="shared" si="56"/>
        <v>#DIV/0!</v>
      </c>
      <c r="F237" s="171" t="e">
        <f t="shared" si="56"/>
        <v>#DIV/0!</v>
      </c>
      <c r="G237" s="171" t="e">
        <f t="shared" si="56"/>
        <v>#DIV/0!</v>
      </c>
      <c r="H237" s="171" t="e">
        <f t="shared" si="56"/>
        <v>#DIV/0!</v>
      </c>
      <c r="I237" s="171">
        <f t="shared" si="56"/>
        <v>2.5971785729960794E-2</v>
      </c>
      <c r="J237" s="171" t="e">
        <f t="shared" si="56"/>
        <v>#DIV/0!</v>
      </c>
      <c r="K237" s="171">
        <f t="shared" si="56"/>
        <v>1.6241637983528609E-2</v>
      </c>
      <c r="L237" s="171" t="e">
        <f t="shared" si="56"/>
        <v>#DIV/0!</v>
      </c>
      <c r="M237" s="171">
        <f t="shared" si="56"/>
        <v>3.416718604243809E-2</v>
      </c>
      <c r="N237" s="171" t="e">
        <f t="shared" si="56"/>
        <v>#DIV/0!</v>
      </c>
      <c r="O237" s="171">
        <f t="shared" si="56"/>
        <v>1.3702449736745281E-2</v>
      </c>
      <c r="P237" s="171" t="e">
        <f t="shared" si="56"/>
        <v>#DIV/0!</v>
      </c>
      <c r="Q237" s="171">
        <f t="shared" si="56"/>
        <v>2.4536961792047937E-2</v>
      </c>
      <c r="R237" s="171" t="e">
        <f t="shared" si="56"/>
        <v>#DIV/0!</v>
      </c>
      <c r="S237" s="171">
        <f t="shared" si="56"/>
        <v>1.0565005779022432E-2</v>
      </c>
      <c r="T237" s="171" t="e">
        <f t="shared" si="56"/>
        <v>#DIV/0!</v>
      </c>
      <c r="U237" s="171">
        <f t="shared" si="56"/>
        <v>2.1570501523520299E-2</v>
      </c>
      <c r="V237" s="171" t="e">
        <f t="shared" si="56"/>
        <v>#DIV/0!</v>
      </c>
      <c r="W237" s="171">
        <f t="shared" si="56"/>
        <v>1.2174464853196889E-2</v>
      </c>
      <c r="X237" s="171" t="e">
        <f t="shared" si="56"/>
        <v>#DIV/0!</v>
      </c>
      <c r="Y237" s="171">
        <f t="shared" si="56"/>
        <v>2.7229307512768492E-2</v>
      </c>
      <c r="Z237" s="171" t="e">
        <f t="shared" si="56"/>
        <v>#DIV/0!</v>
      </c>
      <c r="AA237" s="171">
        <f t="shared" si="56"/>
        <v>1.6450254684985965E-2</v>
      </c>
      <c r="AB237" s="171" t="e">
        <f t="shared" si="56"/>
        <v>#DIV/0!</v>
      </c>
      <c r="AC237" s="171">
        <f t="shared" si="56"/>
        <v>3.3309512466253771E-2</v>
      </c>
      <c r="AD237" s="171"/>
      <c r="AE237" s="171">
        <f t="shared" si="56"/>
        <v>1.6137695244994622E-2</v>
      </c>
      <c r="AF237" s="171"/>
      <c r="AG237" s="171">
        <f t="shared" si="56"/>
        <v>3.3033402033918122E-2</v>
      </c>
      <c r="AH237" s="171"/>
      <c r="AI237" s="171">
        <f t="shared" si="56"/>
        <v>1.7076252461396216E-2</v>
      </c>
      <c r="AJ237" s="171"/>
      <c r="AK237" s="171">
        <f t="shared" si="56"/>
        <v>3.4263760711931442E-2</v>
      </c>
      <c r="AL237" s="171"/>
      <c r="AM237" s="171">
        <f t="shared" si="56"/>
        <v>1.6377495844293058E-2</v>
      </c>
      <c r="AN237" s="171"/>
      <c r="AO237" s="171">
        <f t="shared" si="56"/>
        <v>3.1563513753463363E-2</v>
      </c>
      <c r="AP237" s="171"/>
      <c r="AQ237" s="171">
        <f t="shared" si="56"/>
        <v>1.2887661605491029E-2</v>
      </c>
      <c r="AR237" s="171"/>
      <c r="AS237" s="171">
        <f t="shared" si="57"/>
        <v>2.4810173714492883E-2</v>
      </c>
      <c r="AT237" s="168"/>
    </row>
    <row r="238" spans="2:46" s="76" customFormat="1" ht="13.15" x14ac:dyDescent="0.35">
      <c r="B238" s="117"/>
      <c r="C238" s="128" t="s">
        <v>167</v>
      </c>
      <c r="E238" s="171" t="e">
        <f t="shared" si="56"/>
        <v>#DIV/0!</v>
      </c>
      <c r="F238" s="171" t="e">
        <f t="shared" si="56"/>
        <v>#DIV/0!</v>
      </c>
      <c r="G238" s="171" t="e">
        <f t="shared" si="56"/>
        <v>#DIV/0!</v>
      </c>
      <c r="H238" s="171" t="e">
        <f t="shared" si="56"/>
        <v>#DIV/0!</v>
      </c>
      <c r="I238" s="171">
        <f t="shared" si="56"/>
        <v>2.5757444939543298E-2</v>
      </c>
      <c r="J238" s="171" t="e">
        <f t="shared" si="56"/>
        <v>#DIV/0!</v>
      </c>
      <c r="K238" s="171">
        <f t="shared" si="56"/>
        <v>1.6504164127564492E-2</v>
      </c>
      <c r="L238" s="171" t="e">
        <f t="shared" si="56"/>
        <v>#DIV/0!</v>
      </c>
      <c r="M238" s="171">
        <f t="shared" si="56"/>
        <v>3.6155855884347644E-2</v>
      </c>
      <c r="N238" s="171" t="e">
        <f t="shared" si="56"/>
        <v>#DIV/0!</v>
      </c>
      <c r="O238" s="171">
        <f t="shared" si="56"/>
        <v>1.5076021306609365E-2</v>
      </c>
      <c r="P238" s="171" t="e">
        <f t="shared" si="56"/>
        <v>#DIV/0!</v>
      </c>
      <c r="Q238" s="171">
        <f t="shared" si="56"/>
        <v>2.7912880197725819E-2</v>
      </c>
      <c r="R238" s="171" t="e">
        <f t="shared" si="56"/>
        <v>#DIV/0!</v>
      </c>
      <c r="S238" s="171">
        <f t="shared" si="56"/>
        <v>1.2070020683043199E-2</v>
      </c>
      <c r="T238" s="171" t="e">
        <f t="shared" si="56"/>
        <v>#DIV/0!</v>
      </c>
      <c r="U238" s="171">
        <f t="shared" si="56"/>
        <v>2.3517385183810229E-2</v>
      </c>
      <c r="V238" s="171" t="e">
        <f t="shared" si="56"/>
        <v>#DIV/0!</v>
      </c>
      <c r="W238" s="171">
        <f t="shared" si="56"/>
        <v>1.268975222073862E-2</v>
      </c>
      <c r="X238" s="171" t="e">
        <f t="shared" si="56"/>
        <v>#DIV/0!</v>
      </c>
      <c r="Y238" s="171">
        <f t="shared" si="56"/>
        <v>2.7837126791238957E-2</v>
      </c>
      <c r="Z238" s="171" t="e">
        <f t="shared" si="56"/>
        <v>#DIV/0!</v>
      </c>
      <c r="AA238" s="171">
        <f t="shared" si="56"/>
        <v>1.7055845331035328E-2</v>
      </c>
      <c r="AB238" s="171" t="e">
        <f t="shared" si="56"/>
        <v>#DIV/0!</v>
      </c>
      <c r="AC238" s="171">
        <f t="shared" si="56"/>
        <v>3.4370759689591732E-2</v>
      </c>
      <c r="AD238" s="171"/>
      <c r="AE238" s="171">
        <f t="shared" si="56"/>
        <v>1.6743867373470053E-2</v>
      </c>
      <c r="AF238" s="171"/>
      <c r="AG238" s="171">
        <f t="shared" si="56"/>
        <v>3.3556067721689738E-2</v>
      </c>
      <c r="AH238" s="171"/>
      <c r="AI238" s="171">
        <f t="shared" si="56"/>
        <v>1.6836624898075078E-2</v>
      </c>
      <c r="AJ238" s="171"/>
      <c r="AK238" s="171">
        <f t="shared" si="56"/>
        <v>3.3841107158094998E-2</v>
      </c>
      <c r="AL238" s="171"/>
      <c r="AM238" s="171">
        <f t="shared" si="56"/>
        <v>1.6776316114858414E-2</v>
      </c>
      <c r="AN238" s="171"/>
      <c r="AO238" s="171">
        <f t="shared" si="56"/>
        <v>3.2635641486074798E-2</v>
      </c>
      <c r="AP238" s="171"/>
      <c r="AQ238" s="171">
        <f t="shared" si="56"/>
        <v>1.3889659068357879E-2</v>
      </c>
      <c r="AR238" s="171"/>
      <c r="AS238" s="171">
        <f t="shared" si="57"/>
        <v>2.686025433890462E-2</v>
      </c>
      <c r="AT238" s="168"/>
    </row>
    <row r="239" spans="2:46" ht="13.15" x14ac:dyDescent="0.35">
      <c r="B239" s="116"/>
      <c r="C239" s="125" t="s">
        <v>142</v>
      </c>
      <c r="E239" s="176"/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68"/>
      <c r="AI239" s="168"/>
      <c r="AJ239" s="168"/>
      <c r="AK239" s="168"/>
      <c r="AL239" s="168"/>
      <c r="AM239" s="168"/>
      <c r="AN239" s="168"/>
      <c r="AO239" s="168"/>
      <c r="AP239" s="168"/>
      <c r="AQ239" s="168"/>
      <c r="AR239" s="168"/>
      <c r="AS239" s="177"/>
      <c r="AT239" s="168"/>
    </row>
    <row r="240" spans="2:46" ht="13.15" x14ac:dyDescent="0.35">
      <c r="B240" s="116"/>
      <c r="C240" s="170" t="s">
        <v>169</v>
      </c>
      <c r="E240" s="165"/>
      <c r="F240" s="165"/>
      <c r="G240" s="165"/>
      <c r="H240" s="165"/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  <c r="X240" s="165"/>
      <c r="Y240" s="165"/>
      <c r="Z240" s="165"/>
      <c r="AA240" s="165"/>
      <c r="AB240" s="165"/>
      <c r="AC240" s="165">
        <f>-AC200/AC161</f>
        <v>4.0560619751751466E-2</v>
      </c>
      <c r="AD240" s="165"/>
      <c r="AE240" s="165"/>
      <c r="AF240" s="165"/>
      <c r="AG240" s="165">
        <f>-AG200/AG161</f>
        <v>4.0345110083535286E-2</v>
      </c>
      <c r="AH240" s="165"/>
      <c r="AI240" s="165">
        <f>-AI200/AI161*2</f>
        <v>3.6667856110310912E-2</v>
      </c>
      <c r="AJ240" s="165"/>
      <c r="AK240" s="165">
        <f>-AK200/AK161</f>
        <v>3.6740953027389167E-2</v>
      </c>
      <c r="AL240" s="165"/>
      <c r="AM240" s="165">
        <f t="shared" ref="AM240:AM245" si="58">-AM200/AM161*2</f>
        <v>3.7285319353129072E-2</v>
      </c>
      <c r="AN240" s="165"/>
      <c r="AO240" s="165">
        <f t="shared" ref="AO240:AO245" si="59">-AO200/AO161</f>
        <v>3.6974693427639732E-2</v>
      </c>
      <c r="AP240" s="165"/>
      <c r="AQ240" s="165">
        <f t="shared" ref="AQ240:AQ245" si="60">-AQ200/AQ161*2</f>
        <v>3.4467729932199348E-2</v>
      </c>
      <c r="AR240" s="165"/>
      <c r="AS240" s="165">
        <f t="shared" ref="AS240:AS241" si="61">-AS200/AS161</f>
        <v>3.3486870731478234E-2</v>
      </c>
      <c r="AT240" s="165"/>
    </row>
    <row r="241" spans="2:46" ht="13.15" x14ac:dyDescent="0.35">
      <c r="B241" s="116"/>
      <c r="C241" s="140" t="s">
        <v>170</v>
      </c>
      <c r="E241" s="165"/>
      <c r="F241" s="165"/>
      <c r="G241" s="165"/>
      <c r="H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  <c r="X241" s="165"/>
      <c r="Y241" s="165"/>
      <c r="Z241" s="165"/>
      <c r="AA241" s="165"/>
      <c r="AB241" s="165"/>
      <c r="AC241" s="165">
        <f>-AC201/AC162</f>
        <v>2.564113153491621E-2</v>
      </c>
      <c r="AD241" s="165"/>
      <c r="AE241" s="165"/>
      <c r="AF241" s="165"/>
      <c r="AG241" s="165">
        <f>-AG201/AG162</f>
        <v>2.2668672747401135E-2</v>
      </c>
      <c r="AH241" s="165"/>
      <c r="AI241" s="165">
        <f t="shared" ref="AI241" si="62">-AI201/AI162*2</f>
        <v>2.3303486841462714E-2</v>
      </c>
      <c r="AJ241" s="165"/>
      <c r="AK241" s="165">
        <f>-AK201/AK162</f>
        <v>2.3522926623373772E-2</v>
      </c>
      <c r="AL241" s="165"/>
      <c r="AM241" s="165">
        <f t="shared" si="58"/>
        <v>1.9140268632179859E-2</v>
      </c>
      <c r="AN241" s="165"/>
      <c r="AO241" s="165">
        <f t="shared" si="59"/>
        <v>1.8146810579888272E-2</v>
      </c>
      <c r="AP241" s="165"/>
      <c r="AQ241" s="165">
        <f t="shared" si="60"/>
        <v>1.6760557582617023E-2</v>
      </c>
      <c r="AR241" s="165"/>
      <c r="AS241" s="165">
        <f t="shared" si="61"/>
        <v>1.7070278824056019E-2</v>
      </c>
      <c r="AT241" s="165"/>
    </row>
    <row r="242" spans="2:46" ht="13.15" x14ac:dyDescent="0.35">
      <c r="B242" s="116"/>
      <c r="C242" s="124" t="s">
        <v>171</v>
      </c>
      <c r="E242" s="166"/>
      <c r="F242" s="166"/>
      <c r="G242" s="166"/>
      <c r="H242" s="166"/>
      <c r="I242" s="166"/>
      <c r="J242" s="166"/>
      <c r="K242" s="166"/>
      <c r="L242" s="166"/>
      <c r="M242" s="166"/>
      <c r="N242" s="166"/>
      <c r="O242" s="166"/>
      <c r="P242" s="166"/>
      <c r="Q242" s="166"/>
      <c r="R242" s="166"/>
      <c r="S242" s="166"/>
      <c r="T242" s="166"/>
      <c r="U242" s="166"/>
      <c r="V242" s="166"/>
      <c r="W242" s="166"/>
      <c r="X242" s="166"/>
      <c r="Y242" s="166"/>
      <c r="Z242" s="166"/>
      <c r="AA242" s="166"/>
      <c r="AB242" s="166"/>
      <c r="AC242" s="166"/>
      <c r="AD242" s="166"/>
      <c r="AE242" s="166"/>
      <c r="AF242" s="166"/>
      <c r="AG242" s="166"/>
      <c r="AH242" s="166"/>
      <c r="AI242" s="167"/>
      <c r="AJ242" s="166"/>
      <c r="AK242" s="167"/>
      <c r="AL242" s="166"/>
      <c r="AM242" s="167"/>
      <c r="AN242" s="166"/>
      <c r="AO242" s="167"/>
      <c r="AP242" s="166"/>
      <c r="AQ242" s="167"/>
      <c r="AR242" s="166"/>
      <c r="AS242" s="167"/>
      <c r="AT242" s="166"/>
    </row>
    <row r="243" spans="2:46" ht="13.15" x14ac:dyDescent="0.35">
      <c r="B243" s="116"/>
      <c r="C243" s="124" t="s">
        <v>63</v>
      </c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68"/>
      <c r="AB243" s="168"/>
      <c r="AC243" s="168"/>
      <c r="AD243" s="168"/>
      <c r="AE243" s="168"/>
      <c r="AF243" s="168"/>
      <c r="AG243" s="168"/>
      <c r="AH243" s="168"/>
      <c r="AI243" s="171"/>
      <c r="AJ243" s="168"/>
      <c r="AK243" s="171"/>
      <c r="AL243" s="168"/>
      <c r="AM243" s="171"/>
      <c r="AN243" s="168"/>
      <c r="AO243" s="171"/>
      <c r="AP243" s="168"/>
      <c r="AQ243" s="171"/>
      <c r="AR243" s="168"/>
      <c r="AS243" s="171"/>
      <c r="AT243" s="168"/>
    </row>
    <row r="244" spans="2:46" ht="13.15" x14ac:dyDescent="0.35">
      <c r="B244" s="116"/>
      <c r="C244" s="124" t="s">
        <v>172</v>
      </c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68"/>
      <c r="AE244" s="168"/>
      <c r="AF244" s="168"/>
      <c r="AG244" s="168"/>
      <c r="AH244" s="168"/>
      <c r="AI244" s="177"/>
      <c r="AJ244" s="169"/>
      <c r="AK244" s="177"/>
      <c r="AL244" s="169"/>
      <c r="AM244" s="177"/>
      <c r="AN244" s="169"/>
      <c r="AO244" s="177"/>
      <c r="AP244" s="169"/>
      <c r="AQ244" s="177"/>
      <c r="AR244" s="169"/>
      <c r="AS244" s="177"/>
      <c r="AT244" s="168"/>
    </row>
    <row r="245" spans="2:46" ht="13.15" x14ac:dyDescent="0.35">
      <c r="B245" s="116"/>
      <c r="C245" s="141" t="s">
        <v>173</v>
      </c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165"/>
      <c r="AJ245" s="178"/>
      <c r="AK245" s="165" t="e">
        <f t="shared" ref="AK245" si="63">-AK205/AK166</f>
        <v>#DIV/0!</v>
      </c>
      <c r="AL245" s="178"/>
      <c r="AM245" s="165" t="e">
        <f t="shared" si="58"/>
        <v>#DIV/0!</v>
      </c>
      <c r="AN245" s="178"/>
      <c r="AO245" s="165" t="e">
        <f t="shared" si="59"/>
        <v>#DIV/0!</v>
      </c>
      <c r="AP245" s="178"/>
      <c r="AQ245" s="165" t="e">
        <f t="shared" si="60"/>
        <v>#DIV/0!</v>
      </c>
      <c r="AR245" s="178"/>
      <c r="AS245" s="179" t="e">
        <f>-AS205/AS166</f>
        <v>#DIV/0!</v>
      </c>
      <c r="AT245" s="178"/>
    </row>
    <row r="246" spans="2:46" ht="13.5" thickBot="1" x14ac:dyDescent="0.4">
      <c r="B246" s="116"/>
      <c r="C246" s="133" t="s">
        <v>187</v>
      </c>
      <c r="E246" s="172"/>
      <c r="F246" s="172"/>
      <c r="G246" s="172"/>
      <c r="H246" s="172"/>
      <c r="I246" s="172"/>
      <c r="J246" s="172"/>
      <c r="K246" s="172"/>
      <c r="L246" s="172"/>
      <c r="M246" s="172"/>
      <c r="N246" s="172"/>
      <c r="O246" s="172"/>
      <c r="P246" s="172"/>
      <c r="Q246" s="172"/>
      <c r="R246" s="172"/>
      <c r="S246" s="172"/>
      <c r="T246" s="172"/>
      <c r="U246" s="172"/>
      <c r="V246" s="172"/>
      <c r="W246" s="172"/>
      <c r="X246" s="172"/>
      <c r="Y246" s="172"/>
      <c r="Z246" s="172"/>
      <c r="AA246" s="172"/>
      <c r="AB246" s="172"/>
      <c r="AC246" s="172"/>
      <c r="AD246" s="172"/>
      <c r="AE246" s="172"/>
      <c r="AF246" s="172"/>
      <c r="AG246" s="172"/>
      <c r="AH246" s="172"/>
      <c r="AI246" s="172"/>
      <c r="AJ246" s="172"/>
      <c r="AK246" s="172"/>
      <c r="AL246" s="172"/>
      <c r="AM246" s="172"/>
      <c r="AN246" s="172"/>
      <c r="AO246" s="172"/>
      <c r="AP246" s="172"/>
      <c r="AQ246" s="172"/>
      <c r="AR246" s="172"/>
      <c r="AS246" s="172"/>
      <c r="AT246" s="172"/>
    </row>
    <row r="247" spans="2:46" ht="13.15" thickBot="1" x14ac:dyDescent="0.4"/>
    <row r="248" spans="2:46" ht="13.15" x14ac:dyDescent="0.35">
      <c r="C248" s="180" t="s">
        <v>188</v>
      </c>
      <c r="E248" s="181">
        <f>[2]!s_stmnote_bank_144n($C$6,E6,1)/100</f>
        <v>2.3900000000000001E-2</v>
      </c>
      <c r="F248" s="181"/>
      <c r="G248" s="181">
        <f>[2]!s_stmnote_bank_144n($C$6,G6,1)/100</f>
        <v>3.5906E-2</v>
      </c>
      <c r="H248" s="181"/>
      <c r="I248" s="181">
        <f>[2]!s_stmnote_bank_144n($C$6,I6,1)/100</f>
        <v>2.7999999999999997E-2</v>
      </c>
      <c r="J248" s="181"/>
      <c r="K248" s="181">
        <f>[2]!s_stmnote_bank_144n($C$6,K6,1)/100</f>
        <v>3.0099999999999998E-2</v>
      </c>
      <c r="L248" s="181"/>
      <c r="M248" s="181">
        <f>[2]!s_stmnote_bank_144n($C$6,M6,1)/100</f>
        <v>2.9500000000000002E-2</v>
      </c>
      <c r="N248" s="181"/>
      <c r="O248" s="181">
        <f>[2]!s_stmnote_bank_144n($C$6,O6,1)/100</f>
        <v>2.2499999999999999E-2</v>
      </c>
      <c r="P248" s="181"/>
      <c r="Q248" s="181">
        <f>[2]!s_stmnote_bank_144n($C$6,Q6,1)/100</f>
        <v>2.2599999999999999E-2</v>
      </c>
      <c r="R248" s="181"/>
      <c r="S248" s="181">
        <f>[2]!s_stmnote_bank_144n($C$6,S6,1)/100</f>
        <v>2.3700000000000002E-2</v>
      </c>
      <c r="T248" s="181"/>
      <c r="U248" s="181">
        <f>[2]!s_stmnote_bank_144n($C$6,U6,1)/100</f>
        <v>2.4399999999999998E-2</v>
      </c>
      <c r="V248" s="181"/>
      <c r="W248" s="181">
        <f>[2]!s_stmnote_bank_144n($C$6,W6,1)/100</f>
        <v>2.6168E-2</v>
      </c>
      <c r="X248" s="181"/>
      <c r="Y248" s="181">
        <f>[2]!s_stmnote_bank_144n($C$6,Y6,1)/100</f>
        <v>2.6099999999999998E-2</v>
      </c>
      <c r="Z248" s="181"/>
      <c r="AA248" s="181">
        <f>[2]!s_stmnote_bank_144n($C$6,AA6,1)/100</f>
        <v>2.6600000000000002E-2</v>
      </c>
      <c r="AB248" s="181"/>
      <c r="AC248" s="181">
        <f>[2]!s_stmnote_bank_144n($C$6,AC6,1)/100</f>
        <v>2.6600000000000002E-2</v>
      </c>
      <c r="AD248" s="181"/>
      <c r="AE248" s="181">
        <f>[2]!s_stmnote_bank_144n($C$6,AE6,1)/100</f>
        <v>2.5699999999999997E-2</v>
      </c>
      <c r="AF248" s="181"/>
      <c r="AG248" s="181">
        <f>[2]!s_stmnote_bank_144n($C$6,AG6,1)/100</f>
        <v>2.5699999999999997E-2</v>
      </c>
      <c r="AH248" s="181"/>
      <c r="AI248" s="181">
        <f>[2]!s_stmnote_bank_144n($C$6,AI6,1)/100</f>
        <v>2.6200000000000001E-2</v>
      </c>
      <c r="AJ248" s="181"/>
      <c r="AK248" s="181">
        <f>[2]!s_stmnote_bank_144n($C$6,AK6,1)/100</f>
        <v>2.6600000000000002E-2</v>
      </c>
      <c r="AL248" s="181"/>
      <c r="AM248" s="181">
        <f>[2]!s_stmnote_bank_144n($C$6,AM6,1)/100</f>
        <v>2.53E-2</v>
      </c>
      <c r="AN248" s="181"/>
      <c r="AO248" s="181">
        <f>[2]!s_stmnote_bank_144n($C$6,AO6,1)/100</f>
        <v>2.4700000000000003E-2</v>
      </c>
      <c r="AP248" s="181"/>
      <c r="AQ248" s="181">
        <f>[2]!s_stmnote_bank_144n($C$6,AQ6,1)/100</f>
        <v>2.2099999999999998E-2</v>
      </c>
      <c r="AR248" s="181"/>
      <c r="AS248" s="181">
        <f>[2]!s_stmnote_bank_144n($C$6,AS6,1)/100</f>
        <v>2.1600000000000001E-2</v>
      </c>
      <c r="AT248" s="181"/>
    </row>
    <row r="249" spans="2:46" ht="13.15" x14ac:dyDescent="0.35">
      <c r="C249" s="3" t="s">
        <v>189</v>
      </c>
      <c r="E249" s="182">
        <f>E212-E231</f>
        <v>2.2900000000000004E-2</v>
      </c>
      <c r="F249" s="182"/>
      <c r="G249" s="182">
        <f t="shared" ref="G249:AQ249" si="64">G212-G231</f>
        <v>2.5400000000000002E-2</v>
      </c>
      <c r="H249" s="182"/>
      <c r="I249" s="182">
        <f t="shared" si="64"/>
        <v>2.6700000000000005E-2</v>
      </c>
      <c r="J249" s="182"/>
      <c r="K249" s="182">
        <f t="shared" si="64"/>
        <v>2.8800000000000006E-2</v>
      </c>
      <c r="L249" s="182"/>
      <c r="M249" s="182">
        <f t="shared" si="64"/>
        <v>2.8000000000000004E-2</v>
      </c>
      <c r="N249" s="182"/>
      <c r="O249" s="182">
        <f t="shared" si="64"/>
        <v>2.1299999999999996E-2</v>
      </c>
      <c r="P249" s="182"/>
      <c r="Q249" s="182">
        <f t="shared" si="64"/>
        <v>2.1600000000000001E-2</v>
      </c>
      <c r="R249" s="182"/>
      <c r="S249" s="182">
        <f t="shared" si="64"/>
        <v>2.2800000000000001E-2</v>
      </c>
      <c r="T249" s="182"/>
      <c r="U249" s="182">
        <f t="shared" si="64"/>
        <v>2.3500000000000004E-2</v>
      </c>
      <c r="V249" s="182"/>
      <c r="W249" s="182">
        <f t="shared" si="64"/>
        <v>2.4899999999999995E-2</v>
      </c>
      <c r="X249" s="182"/>
      <c r="Y249" s="182">
        <f t="shared" si="64"/>
        <v>2.4900000000000002E-2</v>
      </c>
      <c r="Z249" s="182"/>
      <c r="AA249" s="182">
        <f t="shared" si="64"/>
        <v>2.4799999999999996E-2</v>
      </c>
      <c r="AB249" s="182"/>
      <c r="AC249" s="182">
        <f t="shared" si="64"/>
        <v>2.4899999999999995E-2</v>
      </c>
      <c r="AD249" s="182"/>
      <c r="AE249" s="182">
        <f>AE212-AE231</f>
        <v>2.4100000000000003E-2</v>
      </c>
      <c r="AF249" s="182"/>
      <c r="AG249" s="182">
        <f t="shared" si="64"/>
        <v>2.4000000000000007E-2</v>
      </c>
      <c r="AH249" s="182"/>
      <c r="AI249" s="182">
        <f t="shared" si="64"/>
        <v>2.3925823642004036E-2</v>
      </c>
      <c r="AJ249" s="182"/>
      <c r="AK249" s="182">
        <f>AK212-AK231</f>
        <v>2.4586818974948996E-2</v>
      </c>
      <c r="AL249" s="182"/>
      <c r="AM249" s="182">
        <f>AM212-AM231</f>
        <v>2.306331328412272E-2</v>
      </c>
      <c r="AN249" s="182"/>
      <c r="AO249" s="182">
        <f t="shared" si="64"/>
        <v>2.3021326324643661E-2</v>
      </c>
      <c r="AP249" s="182"/>
      <c r="AQ249" s="182">
        <f t="shared" si="64"/>
        <v>2.0540690800798334E-2</v>
      </c>
      <c r="AR249" s="182"/>
      <c r="AS249" s="182">
        <f>AS212-AS231</f>
        <v>2.0237393109007441E-2</v>
      </c>
      <c r="AT249" s="182"/>
    </row>
    <row r="250" spans="2:46" ht="13.15" x14ac:dyDescent="0.35">
      <c r="C250" s="183" t="s">
        <v>190</v>
      </c>
      <c r="E250" s="184"/>
      <c r="F250" s="184"/>
      <c r="G250" s="184"/>
      <c r="H250" s="184"/>
      <c r="I250" s="184"/>
      <c r="J250" s="184"/>
      <c r="K250" s="184"/>
      <c r="L250" s="184"/>
      <c r="M250" s="184"/>
      <c r="N250" s="184"/>
      <c r="O250" s="184"/>
      <c r="P250" s="184"/>
      <c r="Q250" s="184"/>
      <c r="R250" s="184"/>
      <c r="S250" s="184"/>
      <c r="T250" s="184"/>
      <c r="U250" s="184"/>
      <c r="V250" s="184"/>
      <c r="W250" s="184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84"/>
      <c r="AJ250" s="184"/>
      <c r="AK250" s="184"/>
      <c r="AL250" s="184"/>
      <c r="AM250" s="184"/>
      <c r="AN250" s="184"/>
      <c r="AO250" s="184"/>
      <c r="AP250" s="184"/>
      <c r="AQ250" s="184"/>
      <c r="AR250" s="184"/>
      <c r="AS250" s="184"/>
      <c r="AT250" s="184"/>
    </row>
    <row r="251" spans="2:46" ht="13.5" thickBot="1" x14ac:dyDescent="0.4">
      <c r="C251" s="185" t="s">
        <v>191</v>
      </c>
      <c r="E251" s="186"/>
      <c r="F251" s="186"/>
      <c r="G251" s="186"/>
      <c r="H251" s="186"/>
      <c r="I251" s="186"/>
      <c r="J251" s="186"/>
      <c r="K251" s="186"/>
      <c r="L251" s="186"/>
      <c r="M251" s="186"/>
      <c r="N251" s="186"/>
      <c r="O251" s="186"/>
      <c r="P251" s="186"/>
      <c r="Q251" s="186"/>
      <c r="R251" s="186"/>
      <c r="S251" s="186"/>
      <c r="T251" s="186"/>
      <c r="U251" s="186"/>
      <c r="V251" s="186"/>
      <c r="W251" s="186"/>
      <c r="X251" s="186"/>
      <c r="Y251" s="186"/>
      <c r="Z251" s="186"/>
      <c r="AA251" s="186"/>
      <c r="AB251" s="186"/>
      <c r="AC251" s="186"/>
      <c r="AD251" s="186"/>
      <c r="AE251" s="186"/>
      <c r="AF251" s="186"/>
      <c r="AG251" s="186"/>
      <c r="AH251" s="186"/>
      <c r="AI251" s="186"/>
      <c r="AJ251" s="186"/>
      <c r="AK251" s="186"/>
      <c r="AL251" s="186"/>
      <c r="AM251" s="186"/>
      <c r="AN251" s="186"/>
      <c r="AO251" s="186"/>
      <c r="AP251" s="186"/>
      <c r="AQ251" s="186"/>
      <c r="AR251" s="186"/>
      <c r="AS251" s="186"/>
      <c r="AT251" s="186"/>
    </row>
    <row r="253" spans="2:46" ht="13.5" thickBot="1" x14ac:dyDescent="0.4">
      <c r="B253" s="187" t="s">
        <v>192</v>
      </c>
    </row>
    <row r="254" spans="2:46" ht="13.15" x14ac:dyDescent="0.35">
      <c r="C254" s="188" t="s">
        <v>193</v>
      </c>
      <c r="E254" s="42">
        <f>[2]!s_stmnote_bank_coretier1cap($C$6,E6,1,1000000)</f>
        <v>0</v>
      </c>
      <c r="F254" s="42">
        <f>[2]!s_stmnote_bank_coretier1cap($C$6,F6,1,1000000)</f>
        <v>0</v>
      </c>
      <c r="G254" s="42">
        <f>[2]!s_stmnote_bank_coretier1cap($C$6,G6,1,1000000)</f>
        <v>0</v>
      </c>
      <c r="H254" s="42">
        <f>[2]!s_stmnote_bank_coretier1cap($C$6,H6,1,1000000)</f>
        <v>0</v>
      </c>
      <c r="I254" s="42">
        <f>[2]!s_stmnote_bank_coretier1cap($C$6,I6,1,1000000)</f>
        <v>0</v>
      </c>
      <c r="J254" s="42">
        <f>[2]!s_stmnote_bank_coretier1cap($C$6,J6,1,1000000)</f>
        <v>0</v>
      </c>
      <c r="K254" s="42">
        <f>[2]!s_stmnote_bank_coretier1cap($C$6,K6,1,1000000)</f>
        <v>0</v>
      </c>
      <c r="L254" s="42">
        <f>[2]!s_stmnote_bank_coretier1cap($C$6,L6,1,1000000)</f>
        <v>0</v>
      </c>
      <c r="M254" s="42">
        <f>[2]!s_stmnote_bank_coretier1cap($C$6,M6,1,1000000)</f>
        <v>0</v>
      </c>
      <c r="N254" s="42">
        <f>[2]!s_stmnote_bank_coretier1cap($C$6,N6,1,1000000)</f>
        <v>0</v>
      </c>
      <c r="O254" s="42">
        <f>[2]!s_stmnote_bank_coretier1cap($C$6,O6,1,1000000)</f>
        <v>0</v>
      </c>
      <c r="P254" s="42">
        <f>[2]!s_stmnote_bank_coretier1cap($C$6,P6,1,1000000)</f>
        <v>0</v>
      </c>
      <c r="Q254" s="42">
        <f>[2]!s_stmnote_bank_coretier1cap($C$6,Q6,1,1000000)</f>
        <v>0</v>
      </c>
      <c r="R254" s="42">
        <f>[2]!s_stmnote_bank_coretier1cap($C$6,R6,1,1000000)</f>
        <v>0</v>
      </c>
      <c r="S254" s="42">
        <f>[2]!s_stmnote_bank_coretier1cap($C$6,S6,1,1000000)</f>
        <v>0</v>
      </c>
      <c r="T254" s="42">
        <f>[2]!s_stmnote_bank_coretier1cap($C$6,T6,1,1000000)</f>
        <v>0</v>
      </c>
      <c r="U254" s="42">
        <f>[2]!s_stmnote_bank_coretier1cap($C$6,U6,1,1000000)</f>
        <v>0</v>
      </c>
      <c r="V254" s="42">
        <f>[2]!s_stmnote_bank_coretier1cap($C$6,V6,1,1000000)</f>
        <v>0</v>
      </c>
      <c r="W254" s="42">
        <f>[2]!s_stmnote_bank_coretier1cap($C$6,W6,1,1000000)</f>
        <v>0</v>
      </c>
      <c r="X254" s="42">
        <f>[2]!s_stmnote_bank_coretier1cap($C$6,X6,1,1000000)</f>
        <v>0</v>
      </c>
      <c r="Y254" s="42">
        <f>[2]!s_stmnote_bank_coretier1cap($C$6,Y6,1,1000000)</f>
        <v>0</v>
      </c>
      <c r="Z254" s="42">
        <f>[2]!s_stmnote_bank_coretier1cap($C$6,Z6,1,1000000)</f>
        <v>0</v>
      </c>
      <c r="AA254" s="42">
        <f>[2]!s_stmnote_bank_coretier1cap($C$6,AA6,1,1000000)</f>
        <v>0</v>
      </c>
      <c r="AB254" s="42">
        <f>[2]!s_stmnote_bank_coretier1cap($C$6,AB6,1,1000000)</f>
        <v>0</v>
      </c>
      <c r="AC254" s="42">
        <f>[2]!s_stmnote_bank_coretier1cap($C$6,AC6,1,1000000)</f>
        <v>0</v>
      </c>
      <c r="AD254" s="42">
        <f>[2]!s_stmnote_bank_coretier1cap($C$6,AD6,1,1000000)</f>
        <v>1187376</v>
      </c>
      <c r="AE254" s="42">
        <f>[2]!s_stmnote_bank_coretier1cap($C$6,AE6,1,1000000)</f>
        <v>1164699</v>
      </c>
      <c r="AF254" s="42">
        <f>[2]!s_stmnote_bank_coretier1cap($C$6,AF6,1,1000000)</f>
        <v>1225035</v>
      </c>
      <c r="AG254" s="42">
        <f>[2]!s_stmnote_bank_coretier1cap($C$6,AG6,1,1000000)</f>
        <v>1266841</v>
      </c>
      <c r="AH254" s="42">
        <f>[2]!s_stmnote_bank_coretier1cap($C$6,AH6,1,1000000)</f>
        <v>1350739</v>
      </c>
      <c r="AI254" s="42">
        <f>[2]!s_stmnote_bank_coretier1cap($C$6,AI6,1,1000000)</f>
        <v>1346946</v>
      </c>
      <c r="AJ254" s="42">
        <f>[2]!s_stmnote_bank_coretier1cap($C$6,AJ6,1,1000000)</f>
        <v>1419953</v>
      </c>
      <c r="AK254" s="42">
        <f>[2]!s_stmnote_bank_coretier1cap($C$6,AK6,1,1000000)</f>
        <v>1486733</v>
      </c>
      <c r="AL254" s="42">
        <f>[2]!s_stmnote_bank_coretier1cap($C$6,AL6,1,1000000)</f>
        <v>1567084</v>
      </c>
      <c r="AM254" s="42">
        <f>[2]!s_stmnote_bank_coretier1cap($C$6,AM6,1,1000000)</f>
        <v>1560058</v>
      </c>
      <c r="AN254" s="42">
        <f>[2]!s_stmnote_bank_coretier1cap($C$6,AN6,1,1000000)</f>
        <v>1637279</v>
      </c>
      <c r="AO254" s="42">
        <f>[2]!s_stmnote_bank_coretier1cap($C$6,AO6,1,1000000)</f>
        <v>1701495</v>
      </c>
      <c r="AP254" s="42">
        <f>[2]!s_stmnote_bank_coretier1cap($C$6,AP6,1,1000000)</f>
        <v>1774679</v>
      </c>
      <c r="AQ254" s="42">
        <f>[2]!s_stmnote_bank_coretier1cap($C$6,AQ6,1,1000000)</f>
        <v>1767849</v>
      </c>
      <c r="AR254" s="42">
        <f>[2]!s_stmnote_bank_coretier1cap($C$6,AR6,1,1000000)</f>
        <v>1839989</v>
      </c>
      <c r="AS254" s="42">
        <f>[2]!s_stmnote_bank_coretier1cap($C$6,AS6,1,1000000)</f>
        <v>1874976</v>
      </c>
      <c r="AT254" s="42">
        <f>[2]!s_stmnote_bank_coretier1cap($C$6,AT6,1,1000000)</f>
        <v>1937780</v>
      </c>
    </row>
    <row r="255" spans="2:46" ht="13.15" x14ac:dyDescent="0.35">
      <c r="C255" s="189" t="s">
        <v>194</v>
      </c>
      <c r="E255" s="47">
        <f>[2]!s_stmnote_bank_tier1cap($C$6,E6,1,1000000)</f>
        <v>0</v>
      </c>
      <c r="F255" s="47">
        <f>[2]!s_stmnote_bank_tier1cap($C$6,F6,1,1000000)</f>
        <v>0</v>
      </c>
      <c r="G255" s="47">
        <f>[2]!s_stmnote_bank_tier1cap($C$6,G6,1,1000000)</f>
        <v>0</v>
      </c>
      <c r="H255" s="47">
        <f>[2]!s_stmnote_bank_tier1cap($C$6,H6,1,1000000)</f>
        <v>0</v>
      </c>
      <c r="I255" s="47">
        <f>[2]!s_stmnote_bank_tier1cap($C$6,I6,1,1000000)</f>
        <v>0</v>
      </c>
      <c r="J255" s="47">
        <f>[2]!s_stmnote_bank_tier1cap($C$6,J6,1,1000000)</f>
        <v>0</v>
      </c>
      <c r="K255" s="47">
        <f>[2]!s_stmnote_bank_tier1cap($C$6,K6,1,1000000)</f>
        <v>0</v>
      </c>
      <c r="L255" s="47">
        <f>[2]!s_stmnote_bank_tier1cap($C$6,L6,1,1000000)</f>
        <v>0</v>
      </c>
      <c r="M255" s="47">
        <f>[2]!s_stmnote_bank_tier1cap($C$6,M6,1,1000000)</f>
        <v>0</v>
      </c>
      <c r="N255" s="47">
        <f>[2]!s_stmnote_bank_tier1cap($C$6,N6,1,1000000)</f>
        <v>0</v>
      </c>
      <c r="O255" s="47">
        <f>[2]!s_stmnote_bank_tier1cap($C$6,O6,1,1000000)</f>
        <v>0</v>
      </c>
      <c r="P255" s="47">
        <f>[2]!s_stmnote_bank_tier1cap($C$6,P6,1,1000000)</f>
        <v>0</v>
      </c>
      <c r="Q255" s="47">
        <f>[2]!s_stmnote_bank_tier1cap($C$6,Q6,1,1000000)</f>
        <v>0</v>
      </c>
      <c r="R255" s="47">
        <f>[2]!s_stmnote_bank_tier1cap($C$6,R6,1,1000000)</f>
        <v>0</v>
      </c>
      <c r="S255" s="47">
        <f>[2]!s_stmnote_bank_tier1cap($C$6,S6,1,1000000)</f>
        <v>0</v>
      </c>
      <c r="T255" s="47">
        <f>[2]!s_stmnote_bank_tier1cap($C$6,T6,1,1000000)</f>
        <v>0</v>
      </c>
      <c r="U255" s="47">
        <f>[2]!s_stmnote_bank_tier1cap($C$6,U6,1,1000000)</f>
        <v>0</v>
      </c>
      <c r="V255" s="47">
        <f>[2]!s_stmnote_bank_tier1cap($C$6,V6,1,1000000)</f>
        <v>0</v>
      </c>
      <c r="W255" s="47">
        <f>[2]!s_stmnote_bank_tier1cap($C$6,W6,1,1000000)</f>
        <v>0</v>
      </c>
      <c r="X255" s="47">
        <f>[2]!s_stmnote_bank_tier1cap($C$6,X6,1,1000000)</f>
        <v>0</v>
      </c>
      <c r="Y255" s="47">
        <f>[2]!s_stmnote_bank_tier1cap($C$6,Y6,1,1000000)</f>
        <v>0</v>
      </c>
      <c r="Z255" s="47">
        <f>[2]!s_stmnote_bank_tier1cap($C$6,Z6,1,1000000)</f>
        <v>0</v>
      </c>
      <c r="AA255" s="47">
        <f>[2]!s_stmnote_bank_tier1cap($C$6,AA6,1,1000000)</f>
        <v>0</v>
      </c>
      <c r="AB255" s="47">
        <f>[2]!s_stmnote_bank_tier1cap($C$6,AB6,1,1000000)</f>
        <v>0</v>
      </c>
      <c r="AC255" s="47">
        <f>[2]!s_stmnote_bank_tier1cap($C$6,AC6,1,1000000)</f>
        <v>0</v>
      </c>
      <c r="AD255" s="47">
        <f>[2]!s_stmnote_bank_tier1cap($C$6,AD6,1,1000000)</f>
        <v>1187399</v>
      </c>
      <c r="AE255" s="47">
        <f>[2]!s_stmnote_bank_tier1cap($C$6,AE6,1,1000000)</f>
        <v>1164722</v>
      </c>
      <c r="AF255" s="47">
        <f>[2]!s_stmnote_bank_tier1cap($C$6,AF6,1,1000000)</f>
        <v>1225055</v>
      </c>
      <c r="AG255" s="47">
        <f>[2]!s_stmnote_bank_tier1cap($C$6,AG6,1,1000000)</f>
        <v>1266859</v>
      </c>
      <c r="AH255" s="47">
        <f>[2]!s_stmnote_bank_tier1cap($C$6,AH6,1,1000000)</f>
        <v>1350801</v>
      </c>
      <c r="AI255" s="47">
        <f>[2]!s_stmnote_bank_tier1cap($C$6,AI6,1,1000000)</f>
        <v>1347009</v>
      </c>
      <c r="AJ255" s="47">
        <f>[2]!s_stmnote_bank_tier1cap($C$6,AJ6,1,1000000)</f>
        <v>1420020</v>
      </c>
      <c r="AK255" s="47">
        <f>[2]!s_stmnote_bank_tier1cap($C$6,AK6,1,1000000)</f>
        <v>1521233</v>
      </c>
      <c r="AL255" s="47">
        <f>[2]!s_stmnote_bank_tier1cap($C$6,AL6,1,1000000)</f>
        <v>1601623</v>
      </c>
      <c r="AM255" s="47">
        <f>[2]!s_stmnote_bank_tier1cap($C$6,AM6,1,1000000)</f>
        <v>1594669</v>
      </c>
      <c r="AN255" s="47">
        <f>[2]!s_stmnote_bank_tier1cap($C$6,AN6,1,1000000)</f>
        <v>1671889</v>
      </c>
      <c r="AO255" s="47">
        <f>[2]!s_stmnote_bank_tier1cap($C$6,AO6,1,1000000)</f>
        <v>1781062</v>
      </c>
      <c r="AP255" s="47">
        <f>[2]!s_stmnote_bank_tier1cap($C$6,AP6,1,1000000)</f>
        <v>1854320</v>
      </c>
      <c r="AQ255" s="47">
        <f>[2]!s_stmnote_bank_tier1cap($C$6,AQ6,1,1000000)</f>
        <v>1847634</v>
      </c>
      <c r="AR255" s="47">
        <f>[2]!s_stmnote_bank_tier1cap($C$6,AR6,1,1000000)</f>
        <v>1919729</v>
      </c>
      <c r="AS255" s="47">
        <f>[2]!s_stmnote_bank_tier1cap($C$6,AS6,1,1000000)</f>
        <v>1954770</v>
      </c>
      <c r="AT255" s="47">
        <f>[2]!s_stmnote_bank_tier1cap($C$6,AT6,1,1000000)</f>
        <v>2017717</v>
      </c>
    </row>
    <row r="256" spans="2:46" ht="13.15" x14ac:dyDescent="0.35">
      <c r="C256" s="27" t="s">
        <v>195</v>
      </c>
      <c r="E256" s="47">
        <f>[2]!s_stmnote_bank_netequitycap($C$6,E6,1,1000000)</f>
        <v>0</v>
      </c>
      <c r="F256" s="47">
        <f>[2]!s_stmnote_bank_netequitycap($C$6,F6,1,1000000)</f>
        <v>0</v>
      </c>
      <c r="G256" s="47">
        <f>[2]!s_stmnote_bank_netequitycap($C$6,G6,1,1000000)</f>
        <v>0</v>
      </c>
      <c r="H256" s="47">
        <f>[2]!s_stmnote_bank_netequitycap($C$6,H6,1,1000000)</f>
        <v>0</v>
      </c>
      <c r="I256" s="47">
        <f>[2]!s_stmnote_bank_netequitycap($C$6,I6,1,1000000)</f>
        <v>0</v>
      </c>
      <c r="J256" s="47">
        <f>[2]!s_stmnote_bank_netequitycap($C$6,J6,1,1000000)</f>
        <v>0</v>
      </c>
      <c r="K256" s="47">
        <f>[2]!s_stmnote_bank_netequitycap($C$6,K6,1,1000000)</f>
        <v>0</v>
      </c>
      <c r="L256" s="47">
        <f>[2]!s_stmnote_bank_netequitycap($C$6,L6,1,1000000)</f>
        <v>0</v>
      </c>
      <c r="M256" s="47">
        <f>[2]!s_stmnote_bank_netequitycap($C$6,M6,1,1000000)</f>
        <v>0</v>
      </c>
      <c r="N256" s="47">
        <f>[2]!s_stmnote_bank_netequitycap($C$6,N6,1,1000000)</f>
        <v>0</v>
      </c>
      <c r="O256" s="47">
        <f>[2]!s_stmnote_bank_netequitycap($C$6,O6,1,1000000)</f>
        <v>0</v>
      </c>
      <c r="P256" s="47">
        <f>[2]!s_stmnote_bank_netequitycap($C$6,P6,1,1000000)</f>
        <v>0</v>
      </c>
      <c r="Q256" s="47">
        <f>[2]!s_stmnote_bank_netequitycap($C$6,Q6,1,1000000)</f>
        <v>0</v>
      </c>
      <c r="R256" s="47">
        <f>[2]!s_stmnote_bank_netequitycap($C$6,R6,1,1000000)</f>
        <v>0</v>
      </c>
      <c r="S256" s="47">
        <f>[2]!s_stmnote_bank_netequitycap($C$6,S6,1,1000000)</f>
        <v>0</v>
      </c>
      <c r="T256" s="47">
        <f>[2]!s_stmnote_bank_netequitycap($C$6,T6,1,1000000)</f>
        <v>0</v>
      </c>
      <c r="U256" s="47">
        <f>[2]!s_stmnote_bank_netequitycap($C$6,U6,1,1000000)</f>
        <v>0</v>
      </c>
      <c r="V256" s="47">
        <f>[2]!s_stmnote_bank_netequitycap($C$6,V6,1,1000000)</f>
        <v>0</v>
      </c>
      <c r="W256" s="47">
        <f>[2]!s_stmnote_bank_netequitycap($C$6,W6,1,1000000)</f>
        <v>0</v>
      </c>
      <c r="X256" s="47">
        <f>[2]!s_stmnote_bank_netequitycap($C$6,X6,1,1000000)</f>
        <v>0</v>
      </c>
      <c r="Y256" s="47">
        <f>[2]!s_stmnote_bank_netequitycap($C$6,Y6,1,1000000)</f>
        <v>0</v>
      </c>
      <c r="Z256" s="47">
        <f>[2]!s_stmnote_bank_netequitycap($C$6,Z6,1,1000000)</f>
        <v>0</v>
      </c>
      <c r="AA256" s="47">
        <f>[2]!s_stmnote_bank_netequitycap($C$6,AA6,1,1000000)</f>
        <v>0</v>
      </c>
      <c r="AB256" s="47">
        <f>[2]!s_stmnote_bank_netequitycap($C$6,AB6,1,1000000)</f>
        <v>0</v>
      </c>
      <c r="AC256" s="47">
        <f>[2]!s_stmnote_bank_netequitycap($C$6,AC6,1,1000000)</f>
        <v>0</v>
      </c>
      <c r="AD256" s="47">
        <f>[2]!s_stmnote_bank_netequitycap($C$6,AD6,1,1000000)</f>
        <v>1477726</v>
      </c>
      <c r="AE256" s="47">
        <f>[2]!s_stmnote_bank_netequitycap($C$6,AE6,1,1000000)</f>
        <v>1456548</v>
      </c>
      <c r="AF256" s="47">
        <f>[2]!s_stmnote_bank_netequitycap($C$6,AF6,1,1000000)</f>
        <v>1523899</v>
      </c>
      <c r="AG256" s="47">
        <f>[2]!s_stmnote_bank_netequitycap($C$6,AG6,1,1000000)</f>
        <v>1572265</v>
      </c>
      <c r="AH256" s="47">
        <f>[2]!s_stmnote_bank_netequitycap($C$6,AH6,1,1000000)</f>
        <v>1641043</v>
      </c>
      <c r="AI256" s="47">
        <f>[2]!s_stmnote_bank_netequitycap($C$6,AI6,1,1000000)</f>
        <v>1620616</v>
      </c>
      <c r="AJ256" s="47">
        <f>[2]!s_stmnote_bank_netequitycap($C$6,AJ6,1,1000000)</f>
        <v>1709757</v>
      </c>
      <c r="AK256" s="47">
        <f>[2]!s_stmnote_bank_netequitycap($C$6,AK6,1,1000000)</f>
        <v>1812137</v>
      </c>
      <c r="AL256" s="47">
        <f>[2]!s_stmnote_bank_netequitycap($C$6,AL6,1,1000000)</f>
        <v>1845386</v>
      </c>
      <c r="AM256" s="47">
        <f>[2]!s_stmnote_bank_netequitycap($C$6,AM6,1,1000000)</f>
        <v>1821939</v>
      </c>
      <c r="AN256" s="47">
        <f>[2]!s_stmnote_bank_netequitycap($C$6,AN6,1,1000000)</f>
        <v>1904125</v>
      </c>
      <c r="AO256" s="47">
        <f>[2]!s_stmnote_bank_netequitycap($C$6,AO6,1,1000000)</f>
        <v>2012103</v>
      </c>
      <c r="AP256" s="47">
        <f>[2]!s_stmnote_bank_netequitycap($C$6,AP6,1,1000000)</f>
        <v>2021074</v>
      </c>
      <c r="AQ256" s="47">
        <f>[2]!s_stmnote_bank_netequitycap($C$6,AQ6,1,1000000)</f>
        <v>2010145</v>
      </c>
      <c r="AR256" s="47">
        <f>[2]!s_stmnote_bank_netequitycap($C$6,AR6,1,1000000)</f>
        <v>2073340</v>
      </c>
      <c r="AS256" s="47">
        <f>[2]!s_stmnote_bank_netequitycap($C$6,AS6,1,1000000)</f>
        <v>2127462</v>
      </c>
      <c r="AT256" s="47">
        <f>[2]!s_stmnote_bank_netequitycap($C$6,AT6,1,1000000)</f>
        <v>2188307</v>
      </c>
    </row>
    <row r="257" spans="2:46" ht="13.15" x14ac:dyDescent="0.35">
      <c r="C257" s="190" t="s">
        <v>196</v>
      </c>
      <c r="E257" s="48">
        <f>[2]!s_stmnote_bank_rweightedassets($C$6,E6,1,1000000)</f>
        <v>0</v>
      </c>
      <c r="F257" s="48">
        <f>[2]!s_stmnote_bank_rweightedassets($C$6,F6,1,1000000)</f>
        <v>0</v>
      </c>
      <c r="G257" s="48">
        <f>[2]!s_stmnote_bank_rweightedassets($C$6,G6,1,1000000)</f>
        <v>0</v>
      </c>
      <c r="H257" s="48">
        <f>[2]!s_stmnote_bank_rweightedassets($C$6,H6,1,1000000)</f>
        <v>0</v>
      </c>
      <c r="I257" s="48">
        <f>[2]!s_stmnote_bank_rweightedassets($C$6,I6,1,1000000)</f>
        <v>0</v>
      </c>
      <c r="J257" s="48">
        <f>[2]!s_stmnote_bank_rweightedassets($C$6,J6,1,1000000)</f>
        <v>0</v>
      </c>
      <c r="K257" s="48">
        <f>[2]!s_stmnote_bank_rweightedassets($C$6,K6,1,1000000)</f>
        <v>0</v>
      </c>
      <c r="L257" s="48">
        <f>[2]!s_stmnote_bank_rweightedassets($C$6,L6,1,1000000)</f>
        <v>0</v>
      </c>
      <c r="M257" s="48">
        <f>[2]!s_stmnote_bank_rweightedassets($C$6,M6,1,1000000)</f>
        <v>0</v>
      </c>
      <c r="N257" s="48">
        <f>[2]!s_stmnote_bank_rweightedassets($C$6,N6,1,1000000)</f>
        <v>0</v>
      </c>
      <c r="O257" s="48">
        <f>[2]!s_stmnote_bank_rweightedassets($C$6,O6,1,1000000)</f>
        <v>0</v>
      </c>
      <c r="P257" s="48">
        <f>[2]!s_stmnote_bank_rweightedassets($C$6,P6,1,1000000)</f>
        <v>0</v>
      </c>
      <c r="Q257" s="48">
        <f>[2]!s_stmnote_bank_rweightedassets($C$6,Q6,1,1000000)</f>
        <v>0</v>
      </c>
      <c r="R257" s="48">
        <f>[2]!s_stmnote_bank_rweightedassets($C$6,R6,1,1000000)</f>
        <v>0</v>
      </c>
      <c r="S257" s="48">
        <f>[2]!s_stmnote_bank_rweightedassets($C$6,S6,1,1000000)</f>
        <v>0</v>
      </c>
      <c r="T257" s="48">
        <f>[2]!s_stmnote_bank_rweightedassets($C$6,T6,1,1000000)</f>
        <v>0</v>
      </c>
      <c r="U257" s="48">
        <f>[2]!s_stmnote_bank_rweightedassets($C$6,U6,1,1000000)</f>
        <v>0</v>
      </c>
      <c r="V257" s="48">
        <f>[2]!s_stmnote_bank_rweightedassets($C$6,V6,1,1000000)</f>
        <v>0</v>
      </c>
      <c r="W257" s="48">
        <f>[2]!s_stmnote_bank_rweightedassets($C$6,W6,1,1000000)</f>
        <v>0</v>
      </c>
      <c r="X257" s="48">
        <f>[2]!s_stmnote_bank_rweightedassets($C$6,X6,1,1000000)</f>
        <v>0</v>
      </c>
      <c r="Y257" s="48">
        <f>[2]!s_stmnote_bank_rweightedassets($C$6,Y6,1,1000000)</f>
        <v>0</v>
      </c>
      <c r="Z257" s="48">
        <f>[2]!s_stmnote_bank_rweightedassets($C$6,Z6,1,1000000)</f>
        <v>0</v>
      </c>
      <c r="AA257" s="48">
        <f>[2]!s_stmnote_bank_rweightedassets($C$6,AA6,1,1000000)</f>
        <v>0</v>
      </c>
      <c r="AB257" s="48">
        <f>[2]!s_stmnote_bank_rweightedassets($C$6,AB6,1,1000000)</f>
        <v>0</v>
      </c>
      <c r="AC257" s="48">
        <f>[2]!s_stmnote_bank_rweightedassets($C$6,AC6,1,1000000)</f>
        <v>0</v>
      </c>
      <c r="AD257" s="48">
        <f>[2]!s_stmnote_bank_rweightedassets($C$6,AD6,1,1000000)</f>
        <v>0</v>
      </c>
      <c r="AE257" s="48">
        <f>[2]!s_stmnote_bank_rweightedassets($C$6,AE6,1,1000000)</f>
        <v>11108508</v>
      </c>
      <c r="AF257" s="48">
        <f>[2]!s_stmnote_bank_rweightedassets($C$6,AF6,1,1000000)</f>
        <v>0</v>
      </c>
      <c r="AG257" s="48">
        <f>[2]!s_stmnote_bank_rweightedassets($C$6,AG6,1,1000000)</f>
        <v>11982187</v>
      </c>
      <c r="AH257" s="48">
        <f>[2]!s_stmnote_bank_rweightedassets($C$6,AH6,1,1000000)</f>
        <v>0</v>
      </c>
      <c r="AI257" s="48">
        <f>[2]!s_stmnote_bank_rweightedassets($C$6,AI6,1,1000000)</f>
        <v>11858669</v>
      </c>
      <c r="AJ257" s="48">
        <f>[2]!s_stmnote_bank_rweightedassets($C$6,AJ6,1,1000000)</f>
        <v>0</v>
      </c>
      <c r="AK257" s="48">
        <f>[2]!s_stmnote_bank_rweightedassets($C$6,AK6,1,1000000)</f>
        <v>12475939</v>
      </c>
      <c r="AL257" s="48">
        <f>[2]!s_stmnote_bank_rweightedassets($C$6,AL6,1,1000000)</f>
        <v>0</v>
      </c>
      <c r="AM257" s="48">
        <f>[2]!s_stmnote_bank_rweightedassets($C$6,AM6,1,1000000)</f>
        <v>12860745</v>
      </c>
      <c r="AN257" s="48">
        <f>[2]!s_stmnote_bank_rweightedassets($C$6,AN6,1,1000000)</f>
        <v>0</v>
      </c>
      <c r="AO257" s="48">
        <f>[2]!s_stmnote_bank_rweightedassets($C$6,AO6,1,1000000)</f>
        <v>13216687</v>
      </c>
      <c r="AP257" s="48">
        <f>[2]!s_stmnote_bank_rweightedassets($C$6,AP6,1,1000000)</f>
        <v>0</v>
      </c>
      <c r="AQ257" s="48">
        <f>[2]!s_stmnote_bank_rweightedassets($C$6,AQ6,1,1000000)</f>
        <v>14097738</v>
      </c>
      <c r="AR257" s="48">
        <f>[2]!s_stmnote_bank_rweightedassets($C$6,AR6,1,1000000)</f>
        <v>0</v>
      </c>
      <c r="AS257" s="48">
        <f>[2]!s_stmnote_bank_rweightedassets($C$6,AS6,1,1000000)</f>
        <v>14564617</v>
      </c>
      <c r="AT257" s="48">
        <f>[2]!s_stmnote_bank_rweightedassets($C$6,AT6,1,1000000)</f>
        <v>0</v>
      </c>
    </row>
    <row r="258" spans="2:46" ht="13.15" x14ac:dyDescent="0.4">
      <c r="C258" s="34" t="s">
        <v>197</v>
      </c>
      <c r="E258" s="191">
        <f>[2]!s_stmnote_bank_capadequacyratio_ct1($C$6,E6,1)/100</f>
        <v>0</v>
      </c>
      <c r="F258" s="191">
        <f>[2]!s_stmnote_bank_capadequacyratio_ct1($C$6,F6,1)/100</f>
        <v>0</v>
      </c>
      <c r="G258" s="191">
        <f>[2]!s_stmnote_bank_capadequacyratio_ct1($C$6,G6,1)/100</f>
        <v>0</v>
      </c>
      <c r="H258" s="191">
        <f>[2]!s_stmnote_bank_capadequacyratio_ct1($C$6,H6,1)/100</f>
        <v>0</v>
      </c>
      <c r="I258" s="191">
        <f>[2]!s_stmnote_bank_capadequacyratio_ct1($C$6,I6,1)/100</f>
        <v>0</v>
      </c>
      <c r="J258" s="191">
        <f>[2]!s_stmnote_bank_capadequacyratio_ct1($C$6,J6,1)/100</f>
        <v>0</v>
      </c>
      <c r="K258" s="191">
        <f>[2]!s_stmnote_bank_capadequacyratio_ct1($C$6,K6,1)/100</f>
        <v>0</v>
      </c>
      <c r="L258" s="191">
        <f>[2]!s_stmnote_bank_capadequacyratio_ct1($C$6,L6,1)/100</f>
        <v>0</v>
      </c>
      <c r="M258" s="191">
        <f>[2]!s_stmnote_bank_capadequacyratio_ct1($C$6,M6,1)/100</f>
        <v>0</v>
      </c>
      <c r="N258" s="191">
        <f>[2]!s_stmnote_bank_capadequacyratio_ct1($C$6,N6,1)/100</f>
        <v>0</v>
      </c>
      <c r="O258" s="191">
        <f>[2]!s_stmnote_bank_capadequacyratio_ct1($C$6,O6,1)/100</f>
        <v>0</v>
      </c>
      <c r="P258" s="191">
        <f>[2]!s_stmnote_bank_capadequacyratio_ct1($C$6,P6,1)/100</f>
        <v>0</v>
      </c>
      <c r="Q258" s="191">
        <f>[2]!s_stmnote_bank_capadequacyratio_ct1($C$6,Q6,1)/100</f>
        <v>0</v>
      </c>
      <c r="R258" s="191">
        <f>[2]!s_stmnote_bank_capadequacyratio_ct1($C$6,R6,1)/100</f>
        <v>0</v>
      </c>
      <c r="S258" s="191">
        <f>[2]!s_stmnote_bank_capadequacyratio_ct1($C$6,S6,1)/100</f>
        <v>0</v>
      </c>
      <c r="T258" s="191">
        <f>[2]!s_stmnote_bank_capadequacyratio_ct1($C$6,T6,1)/100</f>
        <v>0</v>
      </c>
      <c r="U258" s="191">
        <f>[2]!s_stmnote_bank_capadequacyratio_ct1($C$6,U6,1)/100</f>
        <v>0</v>
      </c>
      <c r="V258" s="191">
        <f>[2]!s_stmnote_bank_capadequacyratio_ct1($C$6,V6,1)/100</f>
        <v>0</v>
      </c>
      <c r="W258" s="191">
        <f>[2]!s_stmnote_bank_capadequacyratio_ct1($C$6,W6,1)/100</f>
        <v>0</v>
      </c>
      <c r="X258" s="191">
        <f>[2]!s_stmnote_bank_capadequacyratio_ct1($C$6,X6,1)/100</f>
        <v>0</v>
      </c>
      <c r="Y258" s="191">
        <f>[2]!s_stmnote_bank_capadequacyratio_ct1($C$6,Y6,1)/100</f>
        <v>0</v>
      </c>
      <c r="Z258" s="191">
        <f>[2]!s_stmnote_bank_capadequacyratio_ct1($C$6,Z6,1)/100</f>
        <v>0</v>
      </c>
      <c r="AA258" s="191">
        <f>[2]!s_stmnote_bank_capadequacyratio_ct1($C$6,AA6,1)/100</f>
        <v>0</v>
      </c>
      <c r="AB258" s="191">
        <f>[2]!s_stmnote_bank_capadequacyratio_ct1($C$6,AB6,1)/100</f>
        <v>0</v>
      </c>
      <c r="AC258" s="191">
        <f>[2]!s_stmnote_bank_capadequacyratio_ct1($C$6,AC6,1)/100</f>
        <v>0</v>
      </c>
      <c r="AD258" s="191">
        <f>[2]!s_stmnote_bank_capadequacyratio_ct1($C$6,AD6,1)/100</f>
        <v>0.11</v>
      </c>
      <c r="AE258" s="191">
        <f>[2]!s_stmnote_bank_capadequacyratio_ct1($C$6,AE6,1)/100</f>
        <v>0.1048</v>
      </c>
      <c r="AF258" s="191">
        <f>[2]!s_stmnote_bank_capadequacyratio_ct1($C$6,AF6,1)/100</f>
        <v>0.10589999999999999</v>
      </c>
      <c r="AG258" s="191">
        <f>[2]!s_stmnote_bank_capadequacyratio_ct1($C$6,AG6,1)/100</f>
        <v>0.1057</v>
      </c>
      <c r="AH258" s="191">
        <f>[2]!s_stmnote_bank_capadequacyratio_ct1($C$6,AH6,1)/100</f>
        <v>0.10880000000000001</v>
      </c>
      <c r="AI258" s="191">
        <f>[2]!s_stmnote_bank_capadequacyratio_ct1($C$6,AI6,1)/100</f>
        <v>0.11359999999999999</v>
      </c>
      <c r="AJ258" s="191">
        <f>[2]!s_stmnote_bank_capadequacyratio_ct1($C$6,AJ6,1)/100</f>
        <v>0.11789999999999999</v>
      </c>
      <c r="AK258" s="191">
        <f>[2]!s_stmnote_bank_capadequacyratio_ct1($C$6,AK6,1)/100</f>
        <v>0.1192</v>
      </c>
      <c r="AL258" s="191">
        <f>[2]!s_stmnote_bank_capadequacyratio_ct1($C$6,AL6,1)/100</f>
        <v>0.12240000000000001</v>
      </c>
      <c r="AM258" s="191">
        <f>[2]!s_stmnote_bank_capadequacyratio_ct1($C$6,AM6,1)/100</f>
        <v>0.12130000000000001</v>
      </c>
      <c r="AN258" s="191">
        <f>[2]!s_stmnote_bank_capadequacyratio_ct1($C$6,AN6,1)/100</f>
        <v>0.1241</v>
      </c>
      <c r="AO258" s="191">
        <f>[2]!s_stmnote_bank_capadequacyratio_ct1($C$6,AO6,1)/100</f>
        <v>0.12869999999999998</v>
      </c>
      <c r="AP258" s="191">
        <f>[2]!s_stmnote_bank_capadequacyratio_ct1($C$6,AP6,1)/100</f>
        <v>0.12869999999999998</v>
      </c>
      <c r="AQ258" s="191">
        <f>[2]!s_stmnote_bank_capadequacyratio_ct1($C$6,AQ6,1)/100</f>
        <v>0.12539999999999998</v>
      </c>
      <c r="AR258" s="191">
        <f>[2]!s_stmnote_bank_capadequacyratio_ct1($C$6,AR6,1)/100</f>
        <v>0.1258</v>
      </c>
      <c r="AS258" s="191">
        <f>[2]!s_stmnote_bank_capadequacyratio_ct1($C$6,AS6,1)/100</f>
        <v>0.12869999999999998</v>
      </c>
      <c r="AT258" s="191">
        <f>[2]!s_stmnote_bank_capadequacyratio_ct1($C$6,AT6,1)/100</f>
        <v>0.1298</v>
      </c>
    </row>
    <row r="259" spans="2:46" ht="13.15" x14ac:dyDescent="0.4">
      <c r="C259" s="34" t="s">
        <v>198</v>
      </c>
      <c r="E259" s="192">
        <f>[2]!s_stmnote_bank_capadequacyratio_t1($C$6,E6,1)/100</f>
        <v>0</v>
      </c>
      <c r="F259" s="192">
        <f>[2]!s_stmnote_bank_capadequacyratio_t1($C$6,F6,1)/100</f>
        <v>0</v>
      </c>
      <c r="G259" s="192">
        <f>[2]!s_stmnote_bank_capadequacyratio_t1($C$6,G6,1)/100</f>
        <v>0</v>
      </c>
      <c r="H259" s="192">
        <f>[2]!s_stmnote_bank_capadequacyratio_t1($C$6,H6,1)/100</f>
        <v>0</v>
      </c>
      <c r="I259" s="192">
        <f>[2]!s_stmnote_bank_capadequacyratio_t1($C$6,I6,1)/100</f>
        <v>0</v>
      </c>
      <c r="J259" s="192">
        <f>[2]!s_stmnote_bank_capadequacyratio_t1($C$6,J6,1)/100</f>
        <v>0</v>
      </c>
      <c r="K259" s="192">
        <f>[2]!s_stmnote_bank_capadequacyratio_t1($C$6,K6,1)/100</f>
        <v>0</v>
      </c>
      <c r="L259" s="192">
        <f>[2]!s_stmnote_bank_capadequacyratio_t1($C$6,L6,1)/100</f>
        <v>0</v>
      </c>
      <c r="M259" s="192">
        <f>[2]!s_stmnote_bank_capadequacyratio_t1($C$6,M6,1)/100</f>
        <v>0</v>
      </c>
      <c r="N259" s="192">
        <f>[2]!s_stmnote_bank_capadequacyratio_t1($C$6,N6,1)/100</f>
        <v>0</v>
      </c>
      <c r="O259" s="192">
        <f>[2]!s_stmnote_bank_capadequacyratio_t1($C$6,O6,1)/100</f>
        <v>0</v>
      </c>
      <c r="P259" s="192">
        <f>[2]!s_stmnote_bank_capadequacyratio_t1($C$6,P6,1)/100</f>
        <v>0</v>
      </c>
      <c r="Q259" s="192">
        <f>[2]!s_stmnote_bank_capadequacyratio_t1($C$6,Q6,1)/100</f>
        <v>0</v>
      </c>
      <c r="R259" s="192">
        <f>[2]!s_stmnote_bank_capadequacyratio_t1($C$6,R6,1)/100</f>
        <v>0</v>
      </c>
      <c r="S259" s="192">
        <f>[2]!s_stmnote_bank_capadequacyratio_t1($C$6,S6,1)/100</f>
        <v>0</v>
      </c>
      <c r="T259" s="192">
        <f>[2]!s_stmnote_bank_capadequacyratio_t1($C$6,T6,1)/100</f>
        <v>0</v>
      </c>
      <c r="U259" s="192">
        <f>[2]!s_stmnote_bank_capadequacyratio_t1($C$6,U6,1)/100</f>
        <v>0</v>
      </c>
      <c r="V259" s="192">
        <f>[2]!s_stmnote_bank_capadequacyratio_t1($C$6,V6,1)/100</f>
        <v>0</v>
      </c>
      <c r="W259" s="192">
        <f>[2]!s_stmnote_bank_capadequacyratio_t1($C$6,W6,1)/100</f>
        <v>0</v>
      </c>
      <c r="X259" s="192">
        <f>[2]!s_stmnote_bank_capadequacyratio_t1($C$6,X6,1)/100</f>
        <v>0</v>
      </c>
      <c r="Y259" s="192">
        <f>[2]!s_stmnote_bank_capadequacyratio_t1($C$6,Y6,1)/100</f>
        <v>0</v>
      </c>
      <c r="Z259" s="192">
        <f>[2]!s_stmnote_bank_capadequacyratio_t1($C$6,Z6,1)/100</f>
        <v>0</v>
      </c>
      <c r="AA259" s="192">
        <f>[2]!s_stmnote_bank_capadequacyratio_t1($C$6,AA6,1)/100</f>
        <v>0</v>
      </c>
      <c r="AB259" s="192">
        <f>[2]!s_stmnote_bank_capadequacyratio_t1($C$6,AB6,1)/100</f>
        <v>0</v>
      </c>
      <c r="AC259" s="192">
        <f>[2]!s_stmnote_bank_capadequacyratio_t1($C$6,AC6,1)/100</f>
        <v>0</v>
      </c>
      <c r="AD259" s="192">
        <f>[2]!s_stmnote_bank_capadequacyratio_t1($C$6,AD6,1)/100</f>
        <v>0.11</v>
      </c>
      <c r="AE259" s="192">
        <f>[2]!s_stmnote_bank_capadequacyratio_t1($C$6,AE6,1)/100</f>
        <v>0.1048</v>
      </c>
      <c r="AF259" s="192">
        <f>[2]!s_stmnote_bank_capadequacyratio_t1($C$6,AF6,1)/100</f>
        <v>0.10589999999999999</v>
      </c>
      <c r="AG259" s="192">
        <f>[2]!s_stmnote_bank_capadequacyratio_t1($C$6,AG6,1)/100</f>
        <v>0.1057</v>
      </c>
      <c r="AH259" s="192">
        <f>[2]!s_stmnote_bank_capadequacyratio_t1($C$6,AH6,1)/100</f>
        <v>0.10880000000000001</v>
      </c>
      <c r="AI259" s="192">
        <f>[2]!s_stmnote_bank_capadequacyratio_t1($C$6,AI6,1)/100</f>
        <v>0.11359999999999999</v>
      </c>
      <c r="AJ259" s="192">
        <f>[2]!s_stmnote_bank_capadequacyratio_t1($C$6,AJ6,1)/100</f>
        <v>0.11800000000000001</v>
      </c>
      <c r="AK259" s="192">
        <f>[2]!s_stmnote_bank_capadequacyratio_t1($C$6,AK6,1)/100</f>
        <v>0.12189999999999999</v>
      </c>
      <c r="AL259" s="192">
        <f>[2]!s_stmnote_bank_capadequacyratio_t1($C$6,AL6,1)/100</f>
        <v>0.12509999999999999</v>
      </c>
      <c r="AM259" s="192">
        <f>[2]!s_stmnote_bank_capadequacyratio_t1($C$6,AM6,1)/100</f>
        <v>0.124</v>
      </c>
      <c r="AN259" s="192">
        <f>[2]!s_stmnote_bank_capadequacyratio_t1($C$6,AN6,1)/100</f>
        <v>0.12670000000000001</v>
      </c>
      <c r="AO259" s="192">
        <f>[2]!s_stmnote_bank_capadequacyratio_t1($C$6,AO6,1)/100</f>
        <v>0.1348</v>
      </c>
      <c r="AP259" s="192">
        <f>[2]!s_stmnote_bank_capadequacyratio_t1($C$6,AP6,1)/100</f>
        <v>0.13449999999999998</v>
      </c>
      <c r="AQ259" s="192">
        <f>[2]!s_stmnote_bank_capadequacyratio_t1($C$6,AQ6,1)/100</f>
        <v>0.13109999999999999</v>
      </c>
      <c r="AR259" s="192">
        <f>[2]!s_stmnote_bank_capadequacyratio_t1($C$6,AR6,1)/100</f>
        <v>0.1313</v>
      </c>
      <c r="AS259" s="192">
        <f>[2]!s_stmnote_bank_capadequacyratio_t1($C$6,AS6,1)/100</f>
        <v>0.13419999999999999</v>
      </c>
      <c r="AT259" s="192">
        <f>[2]!s_stmnote_bank_capadequacyratio_t1($C$6,AT6,1)/100</f>
        <v>0.1351</v>
      </c>
    </row>
    <row r="260" spans="2:46" ht="13.5" thickBot="1" x14ac:dyDescent="0.4">
      <c r="C260" s="185" t="s">
        <v>199</v>
      </c>
      <c r="E260" s="193">
        <f>[2]!s_stmnote_bank_capadequacyratio($C$6,E6,1)/100</f>
        <v>0</v>
      </c>
      <c r="F260" s="193">
        <f>[2]!s_stmnote_bank_capadequacyratio($C$6,F6,1)/100</f>
        <v>0</v>
      </c>
      <c r="G260" s="193">
        <f>[2]!s_stmnote_bank_capadequacyratio($C$6,G6,1)/100</f>
        <v>0</v>
      </c>
      <c r="H260" s="193">
        <f>[2]!s_stmnote_bank_capadequacyratio($C$6,H6,1)/100</f>
        <v>0</v>
      </c>
      <c r="I260" s="193">
        <f>[2]!s_stmnote_bank_capadequacyratio($C$6,I6,1)/100</f>
        <v>0</v>
      </c>
      <c r="J260" s="193">
        <f>[2]!s_stmnote_bank_capadequacyratio($C$6,J6,1)/100</f>
        <v>0</v>
      </c>
      <c r="K260" s="193">
        <f>[2]!s_stmnote_bank_capadequacyratio($C$6,K6,1)/100</f>
        <v>0</v>
      </c>
      <c r="L260" s="193">
        <f>[2]!s_stmnote_bank_capadequacyratio($C$6,L6,1)/100</f>
        <v>0</v>
      </c>
      <c r="M260" s="193">
        <f>[2]!s_stmnote_bank_capadequacyratio($C$6,M6,1)/100</f>
        <v>0</v>
      </c>
      <c r="N260" s="193">
        <f>[2]!s_stmnote_bank_capadequacyratio($C$6,N6,1)/100</f>
        <v>0</v>
      </c>
      <c r="O260" s="193">
        <f>[2]!s_stmnote_bank_capadequacyratio($C$6,O6,1)/100</f>
        <v>0</v>
      </c>
      <c r="P260" s="193">
        <f>[2]!s_stmnote_bank_capadequacyratio($C$6,P6,1)/100</f>
        <v>0</v>
      </c>
      <c r="Q260" s="193">
        <f>[2]!s_stmnote_bank_capadequacyratio($C$6,Q6,1)/100</f>
        <v>0</v>
      </c>
      <c r="R260" s="193">
        <f>[2]!s_stmnote_bank_capadequacyratio($C$6,R6,1)/100</f>
        <v>0</v>
      </c>
      <c r="S260" s="193">
        <f>[2]!s_stmnote_bank_capadequacyratio($C$6,S6,1)/100</f>
        <v>0</v>
      </c>
      <c r="T260" s="193">
        <f>[2]!s_stmnote_bank_capadequacyratio($C$6,T6,1)/100</f>
        <v>0</v>
      </c>
      <c r="U260" s="193">
        <f>[2]!s_stmnote_bank_capadequacyratio($C$6,U6,1)/100</f>
        <v>0</v>
      </c>
      <c r="V260" s="193">
        <f>[2]!s_stmnote_bank_capadequacyratio($C$6,V6,1)/100</f>
        <v>0</v>
      </c>
      <c r="W260" s="193">
        <f>[2]!s_stmnote_bank_capadequacyratio($C$6,W6,1)/100</f>
        <v>0</v>
      </c>
      <c r="X260" s="193">
        <f>[2]!s_stmnote_bank_capadequacyratio($C$6,X6,1)/100</f>
        <v>0</v>
      </c>
      <c r="Y260" s="193">
        <f>[2]!s_stmnote_bank_capadequacyratio($C$6,Y6,1)/100</f>
        <v>0</v>
      </c>
      <c r="Z260" s="193">
        <f>[2]!s_stmnote_bank_capadequacyratio($C$6,Z6,1)/100</f>
        <v>0</v>
      </c>
      <c r="AA260" s="193">
        <f>[2]!s_stmnote_bank_capadequacyratio($C$6,AA6,1)/100</f>
        <v>0</v>
      </c>
      <c r="AB260" s="193">
        <f>[2]!s_stmnote_bank_capadequacyratio($C$6,AB6,1)/100</f>
        <v>0</v>
      </c>
      <c r="AC260" s="193">
        <f>[2]!s_stmnote_bank_capadequacyratio($C$6,AC6,1)/100</f>
        <v>0</v>
      </c>
      <c r="AD260" s="193">
        <f>[2]!s_stmnote_bank_capadequacyratio($C$6,AD6,1)/100</f>
        <v>0.1368</v>
      </c>
      <c r="AE260" s="193">
        <f>[2]!s_stmnote_bank_capadequacyratio($C$6,AE6,1)/100</f>
        <v>0.13109999999999999</v>
      </c>
      <c r="AF260" s="193">
        <f>[2]!s_stmnote_bank_capadequacyratio($C$6,AF6,1)/100</f>
        <v>0.13170000000000001</v>
      </c>
      <c r="AG260" s="193">
        <f>[2]!s_stmnote_bank_capadequacyratio($C$6,AG6,1)/100</f>
        <v>0.13119999999999998</v>
      </c>
      <c r="AH260" s="193">
        <f>[2]!s_stmnote_bank_capadequacyratio($C$6,AH6,1)/100</f>
        <v>0.13220000000000001</v>
      </c>
      <c r="AI260" s="193">
        <f>[2]!s_stmnote_bank_capadequacyratio($C$6,AI6,1)/100</f>
        <v>0.13669999999999999</v>
      </c>
      <c r="AJ260" s="193">
        <f>[2]!s_stmnote_bank_capadequacyratio($C$6,AJ6,1)/100</f>
        <v>0.14199999999999999</v>
      </c>
      <c r="AK260" s="193">
        <f>[2]!s_stmnote_bank_capadequacyratio($C$6,AK6,1)/100</f>
        <v>0.14529999999999998</v>
      </c>
      <c r="AL260" s="193">
        <f>[2]!s_stmnote_bank_capadequacyratio($C$6,AL6,1)/100</f>
        <v>0.14410000000000001</v>
      </c>
      <c r="AM260" s="193">
        <f>[2]!s_stmnote_bank_capadequacyratio($C$6,AM6,1)/100</f>
        <v>0.14169999999999999</v>
      </c>
      <c r="AN260" s="193">
        <f>[2]!s_stmnote_bank_capadequacyratio($C$6,AN6,1)/100</f>
        <v>0.14429999999999998</v>
      </c>
      <c r="AO260" s="193">
        <f>[2]!s_stmnote_bank_capadequacyratio($C$6,AO6,1)/100</f>
        <v>0.1522</v>
      </c>
      <c r="AP260" s="193">
        <f>[2]!s_stmnote_bank_capadequacyratio($C$6,AP6,1)/100</f>
        <v>0.14660000000000001</v>
      </c>
      <c r="AQ260" s="193">
        <f>[2]!s_stmnote_bank_capadequacyratio($C$6,AQ6,1)/100</f>
        <v>0.1426</v>
      </c>
      <c r="AR260" s="193">
        <f>[2]!s_stmnote_bank_capadequacyratio($C$6,AR6,1)/100</f>
        <v>0.14180000000000001</v>
      </c>
      <c r="AS260" s="193">
        <f>[2]!s_stmnote_bank_capadequacyratio($C$6,AS6,1)/100</f>
        <v>0.14610000000000001</v>
      </c>
      <c r="AT260" s="193">
        <f>[2]!s_stmnote_bank_capadequacyratio($C$6,AT6,1)/100</f>
        <v>0.14660000000000001</v>
      </c>
    </row>
    <row r="263" spans="2:46" ht="13.15" x14ac:dyDescent="0.35">
      <c r="B263" s="94" t="s">
        <v>200</v>
      </c>
      <c r="C263" s="194"/>
    </row>
    <row r="264" spans="2:46" ht="13.5" thickBot="1" x14ac:dyDescent="0.4">
      <c r="B264" s="135"/>
      <c r="C264" s="107"/>
    </row>
    <row r="265" spans="2:46" ht="13.5" x14ac:dyDescent="0.4">
      <c r="B265" s="108"/>
      <c r="C265" s="118" t="s">
        <v>201</v>
      </c>
      <c r="E265" s="195"/>
      <c r="F265" s="195"/>
      <c r="G265" s="195"/>
      <c r="H265" s="195"/>
      <c r="I265" s="138">
        <f>[2]!s_stmnote_bank_22n($C$6,E6,1,1000000)</f>
        <v>97193</v>
      </c>
      <c r="J265" s="138"/>
      <c r="K265" s="138"/>
      <c r="L265" s="138"/>
      <c r="M265" s="138">
        <f>[2]!s_stmnote_bank_22n($C$6,I6,1,1000000)</f>
        <v>115687</v>
      </c>
      <c r="N265" s="138"/>
      <c r="O265" s="138"/>
      <c r="P265" s="138"/>
      <c r="Q265" s="138">
        <f>[2]!s_stmnote_bank_22n($C$6,M6,1,1000000)</f>
        <v>135983</v>
      </c>
      <c r="R265" s="138"/>
      <c r="S265" s="138"/>
      <c r="T265" s="138"/>
      <c r="U265" s="138">
        <f>[2]!s_stmnote_bank_22n($C$6,Q6,1,1000000)</f>
        <v>145452</v>
      </c>
      <c r="V265" s="138"/>
      <c r="W265" s="138"/>
      <c r="X265" s="138"/>
      <c r="Y265" s="138">
        <f>[2]!s_stmnote_bank_22n($C$6,U6,1,1000000)</f>
        <v>167134</v>
      </c>
      <c r="Z265" s="138"/>
      <c r="AA265" s="138"/>
      <c r="AB265" s="138"/>
      <c r="AC265" s="138">
        <f>[2]!s_stmnote_bank_22n($C$6,Y6,1,1000000)</f>
        <v>194878</v>
      </c>
      <c r="AD265" s="138"/>
      <c r="AE265" s="138"/>
      <c r="AF265" s="138"/>
      <c r="AG265" s="138">
        <f>[2]!s_stmnote_bank_22n($C$6,AC6,1,1000000)</f>
        <v>220403</v>
      </c>
      <c r="AH265" s="138"/>
      <c r="AI265" s="138"/>
      <c r="AJ265" s="138"/>
      <c r="AK265" s="138">
        <f>[2]!s_stmnote_bank_22n($C$6,AG6,1,1000000)</f>
        <v>240959</v>
      </c>
      <c r="AL265" s="138"/>
      <c r="AM265" s="138"/>
      <c r="AN265" s="138"/>
      <c r="AO265" s="138">
        <f>[2]!s_stmnote_bank_22n($C$6,AK6,1,1000000)</f>
        <v>257581</v>
      </c>
      <c r="AP265" s="138"/>
      <c r="AQ265" s="138"/>
      <c r="AR265" s="138"/>
      <c r="AS265" s="138">
        <f>[2]!s_stmnote_bank_22n($C$6,AO6,1,1000000)</f>
        <v>280654</v>
      </c>
      <c r="AT265" s="196"/>
    </row>
    <row r="266" spans="2:46" ht="13.5" x14ac:dyDescent="0.4">
      <c r="B266" s="108"/>
      <c r="C266" s="124" t="s">
        <v>202</v>
      </c>
      <c r="E266" s="132"/>
      <c r="F266" s="132"/>
      <c r="G266" s="132"/>
      <c r="H266" s="132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32"/>
    </row>
    <row r="267" spans="2:46" ht="13.15" x14ac:dyDescent="0.35">
      <c r="B267" s="135"/>
      <c r="C267" s="124" t="s">
        <v>203</v>
      </c>
      <c r="E267" s="63"/>
      <c r="F267" s="63"/>
      <c r="G267" s="63"/>
      <c r="H267" s="63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63"/>
    </row>
    <row r="268" spans="2:46" ht="13.15" x14ac:dyDescent="0.35">
      <c r="B268" s="135"/>
      <c r="C268" s="124" t="s">
        <v>204</v>
      </c>
      <c r="E268" s="63"/>
      <c r="F268" s="63"/>
      <c r="G268" s="63"/>
      <c r="H268" s="63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63"/>
    </row>
    <row r="269" spans="2:46" ht="13.5" x14ac:dyDescent="0.4">
      <c r="B269" s="108"/>
      <c r="C269" s="124" t="s">
        <v>142</v>
      </c>
      <c r="E269" s="197"/>
      <c r="F269" s="197"/>
      <c r="G269" s="197"/>
      <c r="H269" s="197"/>
      <c r="I269" s="198"/>
      <c r="J269" s="198"/>
      <c r="K269" s="198"/>
      <c r="L269" s="198"/>
      <c r="M269" s="198"/>
      <c r="N269" s="198"/>
      <c r="O269" s="198"/>
      <c r="P269" s="198"/>
      <c r="Q269" s="198"/>
      <c r="R269" s="198"/>
      <c r="S269" s="198"/>
      <c r="T269" s="198"/>
      <c r="U269" s="198"/>
      <c r="V269" s="198"/>
      <c r="W269" s="198"/>
      <c r="X269" s="198"/>
      <c r="Y269" s="198"/>
      <c r="Z269" s="198"/>
      <c r="AA269" s="198"/>
      <c r="AB269" s="198"/>
      <c r="AC269" s="198"/>
      <c r="AD269" s="198"/>
      <c r="AE269" s="198"/>
      <c r="AF269" s="198"/>
      <c r="AG269" s="198"/>
      <c r="AH269" s="198"/>
      <c r="AI269" s="198"/>
      <c r="AJ269" s="198"/>
      <c r="AK269" s="198"/>
      <c r="AL269" s="198"/>
      <c r="AM269" s="198"/>
      <c r="AN269" s="198"/>
      <c r="AO269" s="198"/>
      <c r="AP269" s="198"/>
      <c r="AQ269" s="198"/>
      <c r="AR269" s="198"/>
      <c r="AS269" s="198"/>
      <c r="AT269" s="197"/>
    </row>
    <row r="270" spans="2:46" ht="13.5" x14ac:dyDescent="0.4">
      <c r="B270" s="108"/>
      <c r="C270" s="174" t="s">
        <v>205</v>
      </c>
      <c r="E270" s="199"/>
      <c r="F270" s="199"/>
      <c r="G270" s="199"/>
      <c r="H270" s="199"/>
      <c r="I270" s="200">
        <f>[2]!s_stmnote_bank_22n($C$6,I6,1,1000000)</f>
        <v>115687</v>
      </c>
      <c r="J270" s="200"/>
      <c r="K270" s="200"/>
      <c r="L270" s="200"/>
      <c r="M270" s="200">
        <f>[2]!s_stmnote_bank_22n($C$6,M6,1,1000000)</f>
        <v>135983</v>
      </c>
      <c r="N270" s="200"/>
      <c r="O270" s="200"/>
      <c r="P270" s="200"/>
      <c r="Q270" s="200">
        <f>[2]!s_stmnote_bank_22n($C$6,Q6,1,1000000)</f>
        <v>145452</v>
      </c>
      <c r="R270" s="200"/>
      <c r="S270" s="200"/>
      <c r="T270" s="200"/>
      <c r="U270" s="200">
        <f>[2]!s_stmnote_bank_22n($C$6,U6,1,1000000)</f>
        <v>167134</v>
      </c>
      <c r="V270" s="200"/>
      <c r="W270" s="200"/>
      <c r="X270" s="200"/>
      <c r="Y270" s="200">
        <f>[2]!s_stmnote_bank_22n($C$6,Y6,1,1000000)</f>
        <v>194878</v>
      </c>
      <c r="Z270" s="200"/>
      <c r="AA270" s="200"/>
      <c r="AB270" s="200"/>
      <c r="AC270" s="200">
        <f>[2]!s_stmnote_bank_22n($C$6,AC6,1,1000000)</f>
        <v>220403</v>
      </c>
      <c r="AD270" s="200"/>
      <c r="AE270" s="200"/>
      <c r="AF270" s="200"/>
      <c r="AG270" s="200">
        <f>[2]!s_stmnote_bank_22n($C$6,AG6,1,1000000)</f>
        <v>240959</v>
      </c>
      <c r="AH270" s="200"/>
      <c r="AI270" s="200">
        <v>59548</v>
      </c>
      <c r="AJ270" s="200"/>
      <c r="AK270" s="200">
        <f>[2]!s_stmnote_bank_22n($C$6,AK6,1,1000000)</f>
        <v>257581</v>
      </c>
      <c r="AL270" s="200"/>
      <c r="AM270" s="200">
        <v>80880</v>
      </c>
      <c r="AN270" s="200"/>
      <c r="AO270" s="200">
        <f>[2]!s_stmnote_bank_22n($C$6,AO6,1,1000000)</f>
        <v>280654</v>
      </c>
      <c r="AP270" s="200"/>
      <c r="AQ270" s="200">
        <v>104496</v>
      </c>
      <c r="AR270" s="200"/>
      <c r="AS270" s="200">
        <f>[2]!s_stmnote_bank_22n($C$6,AS6,1,1000000)</f>
        <v>289512</v>
      </c>
      <c r="AT270" s="201"/>
    </row>
    <row r="271" spans="2:46" ht="13.9" thickBot="1" x14ac:dyDescent="0.45">
      <c r="B271" s="108"/>
      <c r="C271" s="202" t="s">
        <v>206</v>
      </c>
      <c r="E271" s="71"/>
      <c r="F271" s="71"/>
      <c r="G271" s="71"/>
      <c r="H271" s="71"/>
      <c r="I271" s="72">
        <f>[2]!s_stm07_cs(#REF!,"W47177514",J6,1,1000000)</f>
        <v>0</v>
      </c>
      <c r="J271" s="72">
        <f>[2]!s_stm07_cs($C$6,"W47177514",J6,1,1000000)</f>
        <v>8473</v>
      </c>
      <c r="K271" s="72">
        <f>[2]!s_stm07_cs($C$6,"W47177514",K6,1,1000000)</f>
        <v>18315</v>
      </c>
      <c r="L271" s="72">
        <f>[2]!s_stm07_cs($C$6,"W47177514",L6,1,1000000)</f>
        <v>33892</v>
      </c>
      <c r="M271" s="72">
        <f>[2]!s_stm07_cs($C$6,"W47177514",M6,1,1000000)</f>
        <v>55528</v>
      </c>
      <c r="N271" s="72">
        <f>[2]!s_stm07_cs($C$6,"W47177514",N6,1,1000000)</f>
        <v>4203</v>
      </c>
      <c r="O271" s="72">
        <f>[2]!s_stm07_cs($C$6,"W47177514",O6,1,1000000)</f>
        <v>10212</v>
      </c>
      <c r="P271" s="72">
        <f>[2]!s_stm07_cs($C$6,"W47177514",P6,1,1000000)</f>
        <v>14783</v>
      </c>
      <c r="Q271" s="72">
        <f>[2]!s_stm07_cs($C$6,"W47177514",Q6,1,1000000)</f>
        <v>23219</v>
      </c>
      <c r="R271" s="72">
        <f>[2]!s_stm07_cs($C$6,"W47177514",R6,1,1000000)</f>
        <v>3916</v>
      </c>
      <c r="S271" s="72">
        <f>[2]!s_stm07_cs($C$6,"W47177514",S6,1,1000000)</f>
        <v>9693</v>
      </c>
      <c r="T271" s="72">
        <f>[2]!s_stm07_cs($C$6,"W47177514",T6,1,1000000)</f>
        <v>17820</v>
      </c>
      <c r="U271" s="72">
        <f>[2]!s_stm07_cs($C$6,"W47177514",U6,1,1000000)</f>
        <v>27988</v>
      </c>
      <c r="V271" s="72">
        <f>[2]!s_stm07_cs($C$6,"W47177514",V6,1,1000000)</f>
        <v>8654</v>
      </c>
      <c r="W271" s="72">
        <f>[2]!s_stm07_cs($C$6,"W47177514",W6,1,1000000)</f>
        <v>16881</v>
      </c>
      <c r="X271" s="72">
        <f>[2]!s_stm07_cs($C$6,"W47177514",X6,1,1000000)</f>
        <v>24383</v>
      </c>
      <c r="Y271" s="72">
        <f>[2]!s_stm07_cs($C$6,"W47177514",Y6,1,1000000)</f>
        <v>31121</v>
      </c>
      <c r="Z271" s="72">
        <f>[2]!s_stm07_cs($C$6,"W47177514",Z6,1,1000000)</f>
        <v>10148</v>
      </c>
      <c r="AA271" s="72">
        <f>[2]!s_stm07_cs($C$6,"W47177514",AA6,1,1000000)</f>
        <v>19237</v>
      </c>
      <c r="AB271" s="72">
        <f>[2]!s_stm07_cs($C$6,"W47177514",AB6,1,1000000)</f>
        <v>25459</v>
      </c>
      <c r="AC271" s="72">
        <f>[2]!s_stm07_cs($C$6,"W47177514",AC6,1,1000000)</f>
        <v>33745</v>
      </c>
      <c r="AD271" s="72">
        <f>[2]!s_stm07_cs($C$6,"W47177514",AD6,1,1000000)</f>
        <v>12152</v>
      </c>
      <c r="AE271" s="72">
        <f>[2]!s_stm07_cs($C$6,"W47177514",AE6,1,1000000)</f>
        <v>21941</v>
      </c>
      <c r="AF271" s="72">
        <f>[2]!s_stm07_cs($C$6,"W47177514",AF6,1,1000000)</f>
        <v>28620</v>
      </c>
      <c r="AG271" s="72">
        <f>[2]!s_stm07_cs($C$6,"W47177514",AG6,1,1000000)</f>
        <v>38321</v>
      </c>
      <c r="AH271" s="72">
        <f>[2]!s_stm07_cs($C$6,"W47177514",AH6,1,1000000)</f>
        <v>13776</v>
      </c>
      <c r="AI271" s="72">
        <f>[2]!s_stm07_cs($C$6,"W47177514",AI6,1,1000000)</f>
        <v>24167</v>
      </c>
      <c r="AJ271" s="72">
        <f>[2]!s_stm07_cs($C$6,"W47177514",AJ6,1,1000000)</f>
        <v>32456</v>
      </c>
      <c r="AK271" s="72">
        <f>[2]!s_stm07_cs($C$6,"W47177514",AK6,1,1000000)</f>
        <v>56729</v>
      </c>
      <c r="AL271" s="72">
        <f>[2]!s_stm07_cs($C$6,"W47177514",AL6,1,1000000)</f>
        <v>20748</v>
      </c>
      <c r="AM271" s="72">
        <f>[2]!s_stm07_cs($C$6,"W47177514",AM6,1,1000000)</f>
        <v>41951</v>
      </c>
      <c r="AN271" s="72">
        <f>[2]!s_stm07_cs($C$6,"W47177514",AN6,1,1000000)</f>
        <v>61569</v>
      </c>
      <c r="AO271" s="72">
        <f>[2]!s_stm07_cs($C$6,"W47177514",AO6,1,1000000)</f>
        <v>86993</v>
      </c>
      <c r="AP271" s="72"/>
      <c r="AQ271" s="72">
        <f>[2]!s_stm07_cs($C$6,"W47177514",AQ6,1,1000000)</f>
        <v>44433</v>
      </c>
      <c r="AR271" s="72"/>
      <c r="AS271" s="72">
        <f>[2]!s_stm07_cs($C$6,"W47177514",AS6,1,1000000)</f>
        <v>87894</v>
      </c>
      <c r="AT271" s="72"/>
    </row>
    <row r="273" spans="2:46" x14ac:dyDescent="0.35">
      <c r="AD273" s="24"/>
      <c r="AH273" s="24"/>
      <c r="AL273" s="24"/>
      <c r="AP273" s="24"/>
      <c r="AT273" s="24"/>
    </row>
    <row r="274" spans="2:46" ht="13.15" x14ac:dyDescent="0.35">
      <c r="B274" s="94" t="s">
        <v>207</v>
      </c>
      <c r="C274" s="194"/>
    </row>
    <row r="275" spans="2:46" ht="13.5" thickBot="1" x14ac:dyDescent="0.4">
      <c r="B275" s="114"/>
      <c r="C275" s="107"/>
      <c r="AS275" s="111"/>
    </row>
    <row r="276" spans="2:46" ht="13.15" x14ac:dyDescent="0.35">
      <c r="B276" s="135"/>
      <c r="C276" s="124" t="s">
        <v>208</v>
      </c>
      <c r="E276" s="42">
        <f>[2]!s_stmnote_bank($C$6,"31",E6,1000000)</f>
        <v>3165586</v>
      </c>
      <c r="F276" s="42">
        <f>[2]!s_stmnote_bank($C$6,"31",F6,1000000)</f>
        <v>0</v>
      </c>
      <c r="G276" s="42">
        <f>[2]!s_stmnote_bank($C$6,"31",G6,1000000)</f>
        <v>3511124</v>
      </c>
      <c r="H276" s="42">
        <f>[2]!s_stmnote_bank($C$6,"31",H6,1000000)</f>
        <v>0</v>
      </c>
      <c r="I276" s="42">
        <f>[2]!s_stmnote_bank($C$6,"31",I6,1000000)</f>
        <v>3728576</v>
      </c>
      <c r="J276" s="42">
        <f>[2]!s_stmnote_bank($C$6,"31",J6,1000000)</f>
        <v>0</v>
      </c>
      <c r="K276" s="42">
        <f>[2]!s_stmnote_bank($C$6,"31",K6,1000000)</f>
        <v>4056453</v>
      </c>
      <c r="L276" s="42">
        <f>[2]!s_stmnote_bank($C$6,"31",L6,1000000)</f>
        <v>0</v>
      </c>
      <c r="M276" s="42">
        <f>[2]!s_stmnote_bank($C$6,"31",M6,1000000)</f>
        <v>4229609</v>
      </c>
      <c r="N276" s="42">
        <f>[2]!s_stmnote_bank($C$6,"31",N6,1000000)</f>
        <v>0</v>
      </c>
      <c r="O276" s="42">
        <f>[2]!s_stmnote_bank($C$6,"31",O6,1000000)</f>
        <v>5145073</v>
      </c>
      <c r="P276" s="42">
        <f>[2]!s_stmnote_bank($C$6,"31",P6,1000000)</f>
        <v>0</v>
      </c>
      <c r="Q276" s="42">
        <f>[2]!s_stmnote_bank($C$6,"31",Q6,1000000)</f>
        <v>5411226</v>
      </c>
      <c r="R276" s="42">
        <f>[2]!s_stmnote_bank($C$6,"31",R6,1000000)</f>
        <v>0</v>
      </c>
      <c r="S276" s="42">
        <f>[2]!s_stmnote_bank($C$6,"31",S6,1000000)</f>
        <v>6041165</v>
      </c>
      <c r="T276" s="42">
        <f>[2]!s_stmnote_bank($C$6,"31",T6,1000000)</f>
        <v>0</v>
      </c>
      <c r="U276" s="42">
        <f>[2]!s_stmnote_bank($C$6,"31",U6,1000000)</f>
        <v>6489450</v>
      </c>
      <c r="V276" s="42">
        <f>[2]!s_stmnote_bank($C$6,"31",V6,1000000)</f>
        <v>0</v>
      </c>
      <c r="W276" s="42">
        <f>[2]!s_stmnote_bank($C$6,"31",W6,1000000)</f>
        <v>7042146</v>
      </c>
      <c r="X276" s="42">
        <f>[2]!s_stmnote_bank($C$6,"31",X6,1000000)</f>
        <v>0</v>
      </c>
      <c r="Y276" s="42">
        <f>[2]!s_stmnote_bank($C$6,"31",Y6,1000000)</f>
        <v>7484060</v>
      </c>
      <c r="Z276" s="42">
        <f>[2]!s_stmnote_bank($C$6,"31",Z6,1000000)</f>
        <v>0</v>
      </c>
      <c r="AA276" s="42">
        <f>[2]!s_stmnote_bank($C$6,"31",AA6,1000000)</f>
        <v>8100251</v>
      </c>
      <c r="AB276" s="42">
        <f>[2]!s_stmnote_bank($C$6,"31",AB6,1000000)</f>
        <v>0</v>
      </c>
      <c r="AC276" s="42">
        <f>[2]!s_stmnote_bank($C$6,"31",AC6,1000000)</f>
        <v>8501566</v>
      </c>
      <c r="AD276" s="42">
        <f>[2]!s_stmnote_bank($C$6,"31",AD6,1000000)</f>
        <v>0</v>
      </c>
      <c r="AE276" s="42">
        <f>[2]!s_stmnote_bank($C$6,"31",AE6,1000000)</f>
        <v>9135274</v>
      </c>
      <c r="AF276" s="42">
        <f>[2]!s_stmnote_bank($C$6,"31",AF6,1000000)</f>
        <v>0</v>
      </c>
      <c r="AG276" s="42">
        <f>[2]!s_stmnote_bank($C$6,"31",AG6,1000000)</f>
        <v>9632523</v>
      </c>
      <c r="AH276" s="42">
        <f>[2]!s_stmnote_bank($C$6,"31",AH6,1000000)</f>
        <v>0</v>
      </c>
      <c r="AI276" s="42">
        <f>[2]!s_stmnote_bank($C$6,"31",AI6,1000000)</f>
        <v>10309257</v>
      </c>
      <c r="AJ276" s="42">
        <f>[2]!s_stmnote_bank($C$6,"31",AJ6,1000000)</f>
        <v>0</v>
      </c>
      <c r="AK276" s="42">
        <f>[2]!s_stmnote_bank($C$6,"31",AK6,1000000)</f>
        <v>10582050</v>
      </c>
      <c r="AL276" s="42">
        <f>[2]!s_stmnote_bank($C$6,"31",AL6,1000000)</f>
        <v>0</v>
      </c>
      <c r="AM276" s="42">
        <f>[2]!s_stmnote_bank($C$6,"31",AM6,1000000)</f>
        <v>11058212</v>
      </c>
      <c r="AN276" s="42">
        <f>[2]!s_stmnote_bank($C$6,"31",AN6,1000000)</f>
        <v>0</v>
      </c>
      <c r="AO276" s="42">
        <f>[2]!s_stmnote_bank($C$6,"31",AO6,1000000)</f>
        <v>11233456</v>
      </c>
      <c r="AP276" s="42">
        <f>[2]!s_stmnote_bank($C$6,"31",AP6,1000000)</f>
        <v>0</v>
      </c>
      <c r="AQ276" s="42">
        <f>[2]!s_stmnote_bank($C$6,"31",AQ6,1000000)</f>
        <v>11858948</v>
      </c>
      <c r="AR276" s="42">
        <f>[2]!s_stmnote_bank($C$6,"31",AR6,1000000)</f>
        <v>0</v>
      </c>
      <c r="AS276" s="42">
        <f>[2]!s_stmnote_bank($C$6,"31",AS6,1000000)</f>
        <v>12261034</v>
      </c>
      <c r="AT276" s="42">
        <f>[2]!s_stmnote_bank($C$6,"31",AT6,1000000)</f>
        <v>0</v>
      </c>
    </row>
    <row r="277" spans="2:46" ht="13.15" x14ac:dyDescent="0.35">
      <c r="B277" s="135"/>
      <c r="C277" s="124" t="s">
        <v>209</v>
      </c>
      <c r="E277" s="47">
        <f>[2]!s_stmnote_bank($C$6,"34",E6,1000000)</f>
        <v>327840</v>
      </c>
      <c r="F277" s="47">
        <f>[2]!s_stmnote_bank($C$6,"34",F6,1000000)</f>
        <v>0</v>
      </c>
      <c r="G277" s="47">
        <f>[2]!s_stmnote_bank($C$6,"34",G6,1000000)</f>
        <v>275821</v>
      </c>
      <c r="H277" s="47">
        <f>[2]!s_stmnote_bank($C$6,"34",H6,1000000)</f>
        <v>0</v>
      </c>
      <c r="I277" s="47">
        <f>[2]!s_stmnote_bank($C$6,"34",I6,1000000)</f>
        <v>232879</v>
      </c>
      <c r="J277" s="47">
        <f>[2]!s_stmnote_bank($C$6,"34",J6,1000000)</f>
        <v>0</v>
      </c>
      <c r="K277" s="47">
        <f>[2]!s_stmnote_bank($C$6,"34",K6,1000000)</f>
        <v>193776</v>
      </c>
      <c r="L277" s="47">
        <f>[2]!s_stmnote_bank($C$6,"34",L6,1000000)</f>
        <v>0</v>
      </c>
      <c r="M277" s="47">
        <f>[2]!s_stmnote_bank($C$6,"34",M6,1000000)</f>
        <v>237903</v>
      </c>
      <c r="N277" s="47">
        <f>[2]!s_stmnote_bank($C$6,"34",N6,1000000)</f>
        <v>0</v>
      </c>
      <c r="O277" s="47">
        <f>[2]!s_stmnote_bank($C$6,"34",O6,1000000)</f>
        <v>192731</v>
      </c>
      <c r="P277" s="47">
        <f>[2]!s_stmnote_bank($C$6,"34",P6,1000000)</f>
        <v>0</v>
      </c>
      <c r="Q277" s="47">
        <f>[2]!s_stmnote_bank($C$6,"34",Q6,1000000)</f>
        <v>228933</v>
      </c>
      <c r="R277" s="47">
        <f>[2]!s_stmnote_bank($C$6,"34",R6,1000000)</f>
        <v>0</v>
      </c>
      <c r="S277" s="47">
        <f>[2]!s_stmnote_bank($C$6,"34",S6,1000000)</f>
        <v>233146</v>
      </c>
      <c r="T277" s="47">
        <f>[2]!s_stmnote_bank($C$6,"34",T6,1000000)</f>
        <v>0</v>
      </c>
      <c r="U277" s="47">
        <f>[2]!s_stmnote_bank($C$6,"34",U6,1000000)</f>
        <v>227815</v>
      </c>
      <c r="V277" s="47">
        <f>[2]!s_stmnote_bank($C$6,"34",V6,1000000)</f>
        <v>0</v>
      </c>
      <c r="W277" s="47">
        <f>[2]!s_stmnote_bank($C$6,"34",W6,1000000)</f>
        <v>222408</v>
      </c>
      <c r="X277" s="47">
        <f>[2]!s_stmnote_bank($C$6,"34",X6,1000000)</f>
        <v>0</v>
      </c>
      <c r="Y277" s="47">
        <f>[2]!s_stmnote_bank($C$6,"34",Y6,1000000)</f>
        <v>231826</v>
      </c>
      <c r="Z277" s="47">
        <f>[2]!s_stmnote_bank($C$6,"34",Z6,1000000)</f>
        <v>0</v>
      </c>
      <c r="AA277" s="47">
        <f>[2]!s_stmnote_bank($C$6,"34",AA6,1000000)</f>
        <v>248661</v>
      </c>
      <c r="AB277" s="47">
        <f>[2]!s_stmnote_bank($C$6,"34",AB6,1000000)</f>
        <v>0</v>
      </c>
      <c r="AC277" s="47">
        <f>[2]!s_stmnote_bank($C$6,"34",AC6,1000000)</f>
        <v>227551</v>
      </c>
      <c r="AD277" s="47">
        <f>[2]!s_stmnote_bank($C$6,"34",AD6,1000000)</f>
        <v>0</v>
      </c>
      <c r="AE277" s="47">
        <f>[2]!s_stmnote_bank($C$6,"34",AE6,1000000)</f>
        <v>220600</v>
      </c>
      <c r="AF277" s="47">
        <f>[2]!s_stmnote_bank($C$6,"34",AF6,1000000)</f>
        <v>0</v>
      </c>
      <c r="AG277" s="47">
        <f>[2]!s_stmnote_bank($C$6,"34",AG6,1000000)</f>
        <v>196162</v>
      </c>
      <c r="AH277" s="47">
        <f>[2]!s_stmnote_bank($C$6,"34",AH6,1000000)</f>
        <v>0</v>
      </c>
      <c r="AI277" s="47">
        <f>[2]!s_stmnote_bank($C$6,"34",AI6,1000000)</f>
        <v>231117</v>
      </c>
      <c r="AJ277" s="47">
        <f>[2]!s_stmnote_bank($C$6,"34",AJ6,1000000)</f>
        <v>0</v>
      </c>
      <c r="AK277" s="47">
        <f>[2]!s_stmnote_bank($C$6,"34",AK6,1000000)</f>
        <v>319784</v>
      </c>
      <c r="AL277" s="47">
        <f>[2]!s_stmnote_bank($C$6,"34",AL6,1000000)</f>
        <v>0</v>
      </c>
      <c r="AM277" s="47">
        <f>[2]!s_stmnote_bank($C$6,"34",AM6,1000000)</f>
        <v>420378</v>
      </c>
      <c r="AN277" s="47">
        <f>[2]!s_stmnote_bank($C$6,"34",AN6,1000000)</f>
        <v>0</v>
      </c>
      <c r="AO277" s="47">
        <f>[2]!s_stmnote_bank($C$6,"34",AO6,1000000)</f>
        <v>520492</v>
      </c>
      <c r="AP277" s="47">
        <f>[2]!s_stmnote_bank($C$6,"34",AP6,1000000)</f>
        <v>0</v>
      </c>
      <c r="AQ277" s="47">
        <f>[2]!s_stmnote_bank($C$6,"34",AQ6,1000000)</f>
        <v>622066</v>
      </c>
      <c r="AR277" s="47">
        <f>[2]!s_stmnote_bank($C$6,"34",AR6,1000000)</f>
        <v>0</v>
      </c>
      <c r="AS277" s="47">
        <f>[2]!s_stmnote_bank($C$6,"34",AS6,1000000)</f>
        <v>584011</v>
      </c>
      <c r="AT277" s="47">
        <f>[2]!s_stmnote_bank($C$6,"34",AT6,1000000)</f>
        <v>0</v>
      </c>
    </row>
    <row r="278" spans="2:46" ht="13.15" x14ac:dyDescent="0.35">
      <c r="B278" s="135"/>
      <c r="C278" s="124" t="s">
        <v>210</v>
      </c>
      <c r="E278" s="47">
        <f>[2]!s_stmnote_bank($C$6,"37",E6,1000000)</f>
        <v>66756</v>
      </c>
      <c r="F278" s="47">
        <f>[2]!s_stmnote_bank($C$6,"37",F6,1000000)</f>
        <v>0</v>
      </c>
      <c r="G278" s="47">
        <f>[2]!s_stmnote_bank($C$6,"37",G6,1000000)</f>
        <v>60411</v>
      </c>
      <c r="H278" s="47">
        <f>[2]!s_stmnote_bank($C$6,"37",H6,1000000)</f>
        <v>0</v>
      </c>
      <c r="I278" s="47">
        <f>[2]!s_stmnote_bank($C$6,"37",I6,1000000)</f>
        <v>38149</v>
      </c>
      <c r="J278" s="47">
        <f>[2]!s_stmnote_bank($C$6,"37",J6,1000000)</f>
        <v>0</v>
      </c>
      <c r="K278" s="47">
        <f>[2]!s_stmnote_bank($C$6,"37",K6,1000000)</f>
        <v>37511</v>
      </c>
      <c r="L278" s="47">
        <f>[2]!s_stmnote_bank($C$6,"37",L6,1000000)</f>
        <v>0</v>
      </c>
      <c r="M278" s="47">
        <f>[2]!s_stmnote_bank($C$6,"37",M6,1000000)</f>
        <v>37694</v>
      </c>
      <c r="N278" s="47">
        <f>[2]!s_stmnote_bank($C$6,"37",N6,1000000)</f>
        <v>0</v>
      </c>
      <c r="O278" s="47">
        <f>[2]!s_stmnote_bank($C$6,"37",O6,1000000)</f>
        <v>40823</v>
      </c>
      <c r="P278" s="47">
        <f>[2]!s_stmnote_bank($C$6,"37",P6,1000000)</f>
        <v>0</v>
      </c>
      <c r="Q278" s="47">
        <f>[2]!s_stmnote_bank($C$6,"37",Q6,1000000)</f>
        <v>31842</v>
      </c>
      <c r="R278" s="47">
        <f>[2]!s_stmnote_bank($C$6,"37",R6,1000000)</f>
        <v>0</v>
      </c>
      <c r="S278" s="47">
        <f>[2]!s_stmnote_bank($C$6,"37",S6,1000000)</f>
        <v>25971</v>
      </c>
      <c r="T278" s="47">
        <f>[2]!s_stmnote_bank($C$6,"37",T6,1000000)</f>
        <v>0</v>
      </c>
      <c r="U278" s="47">
        <f>[2]!s_stmnote_bank($C$6,"37",U6,1000000)</f>
        <v>18932</v>
      </c>
      <c r="V278" s="47">
        <f>[2]!s_stmnote_bank($C$6,"37",V6,1000000)</f>
        <v>0</v>
      </c>
      <c r="W278" s="47">
        <f>[2]!s_stmnote_bank($C$6,"37",W6,1000000)</f>
        <v>18884</v>
      </c>
      <c r="X278" s="47">
        <f>[2]!s_stmnote_bank($C$6,"37",X6,1000000)</f>
        <v>0</v>
      </c>
      <c r="Y278" s="47">
        <f>[2]!s_stmnote_bank($C$6,"37",Y6,1000000)</f>
        <v>24092</v>
      </c>
      <c r="Z278" s="47">
        <f>[2]!s_stmnote_bank($C$6,"37",Z6,1000000)</f>
        <v>0</v>
      </c>
      <c r="AA278" s="47">
        <f>[2]!s_stmnote_bank($C$6,"37",AA6,1000000)</f>
        <v>25895</v>
      </c>
      <c r="AB278" s="47">
        <f>[2]!s_stmnote_bank($C$6,"37",AB6,1000000)</f>
        <v>0</v>
      </c>
      <c r="AC278" s="47">
        <f>[2]!s_stmnote_bank($C$6,"37",AC6,1000000)</f>
        <v>29418</v>
      </c>
      <c r="AD278" s="47">
        <f>[2]!s_stmnote_bank($C$6,"37",AD6,1000000)</f>
        <v>0</v>
      </c>
      <c r="AE278" s="47">
        <f>[2]!s_stmnote_bank($C$6,"37",AE6,1000000)</f>
        <v>34106</v>
      </c>
      <c r="AF278" s="47">
        <f>[2]!s_stmnote_bank($C$6,"37",AF6,1000000)</f>
        <v>0</v>
      </c>
      <c r="AG278" s="47">
        <f>[2]!s_stmnote_bank($C$6,"37",AG6,1000000)</f>
        <v>36532</v>
      </c>
      <c r="AH278" s="47">
        <f>[2]!s_stmnote_bank($C$6,"37",AH6,1000000)</f>
        <v>0</v>
      </c>
      <c r="AI278" s="47">
        <f>[2]!s_stmnote_bank($C$6,"37",AI6,1000000)</f>
        <v>48986</v>
      </c>
      <c r="AJ278" s="47">
        <f>[2]!s_stmnote_bank($C$6,"37",AJ6,1000000)</f>
        <v>0</v>
      </c>
      <c r="AK278" s="47">
        <f>[2]!s_stmnote_bank($C$6,"37",AK6,1000000)</f>
        <v>66809</v>
      </c>
      <c r="AL278" s="47">
        <f>[2]!s_stmnote_bank($C$6,"37",AL6,1000000)</f>
        <v>0</v>
      </c>
      <c r="AM278" s="47">
        <f>[2]!s_stmnote_bank($C$6,"37",AM6,1000000)</f>
        <v>92066</v>
      </c>
      <c r="AN278" s="47">
        <f>[2]!s_stmnote_bank($C$6,"37",AN6,1000000)</f>
        <v>0</v>
      </c>
      <c r="AO278" s="47">
        <f>[2]!s_stmnote_bank($C$6,"37",AO6,1000000)</f>
        <v>104805</v>
      </c>
      <c r="AP278" s="47">
        <f>[2]!s_stmnote_bank($C$6,"37",AP6,1000000)</f>
        <v>0</v>
      </c>
      <c r="AQ278" s="47">
        <f>[2]!s_stmnote_bank($C$6,"37",AQ6,1000000)</f>
        <v>98828</v>
      </c>
      <c r="AR278" s="47">
        <f>[2]!s_stmnote_bank($C$6,"37",AR6,1000000)</f>
        <v>0</v>
      </c>
      <c r="AS278" s="47">
        <f>[2]!s_stmnote_bank($C$6,"37",AS6,1000000)</f>
        <v>109434</v>
      </c>
      <c r="AT278" s="47">
        <f>[2]!s_stmnote_bank($C$6,"37",AT6,1000000)</f>
        <v>0</v>
      </c>
    </row>
    <row r="279" spans="2:46" ht="13.15" x14ac:dyDescent="0.35">
      <c r="B279" s="135"/>
      <c r="C279" s="124" t="s">
        <v>211</v>
      </c>
      <c r="E279" s="47">
        <f>[2]!s_stmnote_bank($C$6,"40",E6,1000000)</f>
        <v>62036</v>
      </c>
      <c r="F279" s="47">
        <f>[2]!s_stmnote_bank($C$6,"40",F6,1000000)</f>
        <v>0</v>
      </c>
      <c r="G279" s="47">
        <f>[2]!s_stmnote_bank($C$6,"40",G6,1000000)</f>
        <v>59097</v>
      </c>
      <c r="H279" s="47">
        <f>[2]!s_stmnote_bank($C$6,"40",H6,1000000)</f>
        <v>0</v>
      </c>
      <c r="I279" s="47">
        <f>[2]!s_stmnote_bank($C$6,"40",I6,1000000)</f>
        <v>62042</v>
      </c>
      <c r="J279" s="47">
        <f>[2]!s_stmnote_bank($C$6,"40",J6,1000000)</f>
        <v>0</v>
      </c>
      <c r="K279" s="47">
        <f>[2]!s_stmnote_bank($C$6,"40",K6,1000000)</f>
        <v>55883</v>
      </c>
      <c r="L279" s="47">
        <f>[2]!s_stmnote_bank($C$6,"40",L6,1000000)</f>
        <v>0</v>
      </c>
      <c r="M279" s="47">
        <f>[2]!s_stmnote_bank($C$6,"40",M6,1000000)</f>
        <v>55641</v>
      </c>
      <c r="N279" s="47">
        <f>[2]!s_stmnote_bank($C$6,"40",N6,1000000)</f>
        <v>0</v>
      </c>
      <c r="O279" s="47">
        <f>[2]!s_stmnote_bank($C$6,"40",O6,1000000)</f>
        <v>48577</v>
      </c>
      <c r="P279" s="47">
        <f>[2]!s_stmnote_bank($C$6,"40",P6,1000000)</f>
        <v>0</v>
      </c>
      <c r="Q279" s="47">
        <f>[2]!s_stmnote_bank($C$6,"40",Q6,1000000)</f>
        <v>43413</v>
      </c>
      <c r="R279" s="47">
        <f>[2]!s_stmnote_bank($C$6,"40",R6,1000000)</f>
        <v>0</v>
      </c>
      <c r="S279" s="47">
        <f>[2]!s_stmnote_bank($C$6,"40",S6,1000000)</f>
        <v>42003</v>
      </c>
      <c r="T279" s="47">
        <f>[2]!s_stmnote_bank($C$6,"40",T6,1000000)</f>
        <v>0</v>
      </c>
      <c r="U279" s="47">
        <f>[2]!s_stmnote_bank($C$6,"40",U6,1000000)</f>
        <v>41765</v>
      </c>
      <c r="V279" s="47">
        <f>[2]!s_stmnote_bank($C$6,"40",V6,1000000)</f>
        <v>0</v>
      </c>
      <c r="W279" s="47">
        <f>[2]!s_stmnote_bank($C$6,"40",W6,1000000)</f>
        <v>40362</v>
      </c>
      <c r="X279" s="47">
        <f>[2]!s_stmnote_bank($C$6,"40",X6,1000000)</f>
        <v>0</v>
      </c>
      <c r="Y279" s="47">
        <f>[2]!s_stmnote_bank($C$6,"40",Y6,1000000)</f>
        <v>38712</v>
      </c>
      <c r="Z279" s="47">
        <f>[2]!s_stmnote_bank($C$6,"40",Z6,1000000)</f>
        <v>0</v>
      </c>
      <c r="AA279" s="47">
        <f>[2]!s_stmnote_bank($C$6,"40",AA6,1000000)</f>
        <v>39725</v>
      </c>
      <c r="AB279" s="47">
        <f>[2]!s_stmnote_bank($C$6,"40",AB6,1000000)</f>
        <v>0</v>
      </c>
      <c r="AC279" s="47">
        <f>[2]!s_stmnote_bank($C$6,"40",AC6,1000000)</f>
        <v>36482</v>
      </c>
      <c r="AD279" s="47">
        <f>[2]!s_stmnote_bank($C$6,"40",AD6,1000000)</f>
        <v>0</v>
      </c>
      <c r="AE279" s="47">
        <f>[2]!s_stmnote_bank($C$6,"40",AE6,1000000)</f>
        <v>39827</v>
      </c>
      <c r="AF279" s="47">
        <f>[2]!s_stmnote_bank($C$6,"40",AF6,1000000)</f>
        <v>0</v>
      </c>
      <c r="AG279" s="47">
        <f>[2]!s_stmnote_bank($C$6,"40",AG6,1000000)</f>
        <v>43020</v>
      </c>
      <c r="AH279" s="47">
        <f>[2]!s_stmnote_bank($C$6,"40",AH6,1000000)</f>
        <v>0</v>
      </c>
      <c r="AI279" s="47">
        <f>[2]!s_stmnote_bank($C$6,"40",AI6,1000000)</f>
        <v>47689</v>
      </c>
      <c r="AJ279" s="47">
        <f>[2]!s_stmnote_bank($C$6,"40",AJ6,1000000)</f>
        <v>0</v>
      </c>
      <c r="AK279" s="47">
        <f>[2]!s_stmnote_bank($C$6,"40",AK6,1000000)</f>
        <v>49359</v>
      </c>
      <c r="AL279" s="47">
        <f>[2]!s_stmnote_bank($C$6,"40",AL6,1000000)</f>
        <v>0</v>
      </c>
      <c r="AM279" s="47">
        <f>[2]!s_stmnote_bank($C$6,"40",AM6,1000000)</f>
        <v>58804</v>
      </c>
      <c r="AN279" s="47">
        <f>[2]!s_stmnote_bank($C$6,"40",AN6,1000000)</f>
        <v>0</v>
      </c>
      <c r="AO279" s="47">
        <f>[2]!s_stmnote_bank($C$6,"40",AO6,1000000)</f>
        <v>60512</v>
      </c>
      <c r="AP279" s="47">
        <f>[2]!s_stmnote_bank($C$6,"40",AP6,1000000)</f>
        <v>0</v>
      </c>
      <c r="AQ279" s="47">
        <f>[2]!s_stmnote_bank($C$6,"40",AQ6,1000000)</f>
        <v>77388</v>
      </c>
      <c r="AR279" s="47">
        <f>[2]!s_stmnote_bank($C$6,"40",AR6,1000000)</f>
        <v>0</v>
      </c>
      <c r="AS279" s="47">
        <f>[2]!s_stmnote_bank($C$6,"40",AS6,1000000)</f>
        <v>82505</v>
      </c>
      <c r="AT279" s="47">
        <f>[2]!s_stmnote_bank($C$6,"40",AT6,1000000)</f>
        <v>0</v>
      </c>
    </row>
    <row r="280" spans="2:46" ht="13.15" x14ac:dyDescent="0.35">
      <c r="B280" s="135"/>
      <c r="C280" s="124" t="s">
        <v>212</v>
      </c>
      <c r="E280" s="52">
        <f>[2]!s_stmnote_bank($C$6,"43",E6,1000000)</f>
        <v>8953</v>
      </c>
      <c r="F280" s="52">
        <f>[2]!s_stmnote_bank($C$6,"43",F6,1000000)</f>
        <v>0</v>
      </c>
      <c r="G280" s="52">
        <f>[2]!s_stmnote_bank($C$6,"43",G6,1000000)</f>
        <v>9153</v>
      </c>
      <c r="H280" s="52">
        <f>[2]!s_stmnote_bank($C$6,"43",H6,1000000)</f>
        <v>0</v>
      </c>
      <c r="I280" s="52">
        <f>[2]!s_stmnote_bank($C$6,"43",I6,1000000)</f>
        <v>11583</v>
      </c>
      <c r="J280" s="52">
        <f>[2]!s_stmnote_bank($C$6,"43",J6,1000000)</f>
        <v>0</v>
      </c>
      <c r="K280" s="52">
        <f>[2]!s_stmnote_bank($C$6,"43",K6,1000000)</f>
        <v>11742</v>
      </c>
      <c r="L280" s="52">
        <f>[2]!s_stmnote_bank($C$6,"43",L6,1000000)</f>
        <v>0</v>
      </c>
      <c r="M280" s="52">
        <f>[2]!s_stmnote_bank($C$6,"43",M6,1000000)</f>
        <v>11147</v>
      </c>
      <c r="N280" s="52">
        <f>[2]!s_stmnote_bank($C$6,"43",N6,1000000)</f>
        <v>0</v>
      </c>
      <c r="O280" s="52">
        <f>[2]!s_stmnote_bank($C$6,"43",O6,1000000)</f>
        <v>9265</v>
      </c>
      <c r="P280" s="52">
        <f>[2]!s_stmnote_bank($C$6,"43",P6,1000000)</f>
        <v>0</v>
      </c>
      <c r="Q280" s="52">
        <f>[2]!s_stmnote_bank($C$6,"43",Q6,1000000)</f>
        <v>13212</v>
      </c>
      <c r="R280" s="52">
        <f>[2]!s_stmnote_bank($C$6,"43",R6,1000000)</f>
        <v>0</v>
      </c>
      <c r="S280" s="52">
        <f>[2]!s_stmnote_bank($C$6,"43",S6,1000000)</f>
        <v>12099</v>
      </c>
      <c r="T280" s="52">
        <f>[2]!s_stmnote_bank($C$6,"43",T6,1000000)</f>
        <v>0</v>
      </c>
      <c r="U280" s="52">
        <f>[2]!s_stmnote_bank($C$6,"43",U6,1000000)</f>
        <v>12544</v>
      </c>
      <c r="V280" s="52">
        <f>[2]!s_stmnote_bank($C$6,"43",V6,1000000)</f>
        <v>0</v>
      </c>
      <c r="W280" s="52">
        <f>[2]!s_stmnote_bank($C$6,"43",W6,1000000)</f>
        <v>10240</v>
      </c>
      <c r="X280" s="52">
        <f>[2]!s_stmnote_bank($C$6,"43",X6,1000000)</f>
        <v>0</v>
      </c>
      <c r="Y280" s="52">
        <f>[2]!s_stmnote_bank($C$6,"43",Y6,1000000)</f>
        <v>10207</v>
      </c>
      <c r="Z280" s="52">
        <f>[2]!s_stmnote_bank($C$6,"43",Z6,1000000)</f>
        <v>0</v>
      </c>
      <c r="AA280" s="52">
        <f>[2]!s_stmnote_bank($C$6,"43",AA6,1000000)</f>
        <v>9505</v>
      </c>
      <c r="AB280" s="52">
        <f>[2]!s_stmnote_bank($C$6,"43",AB6,1000000)</f>
        <v>0</v>
      </c>
      <c r="AC280" s="52">
        <f>[2]!s_stmnote_bank($C$6,"43",AC6,1000000)</f>
        <v>8675</v>
      </c>
      <c r="AD280" s="52">
        <f>[2]!s_stmnote_bank($C$6,"43",AD6,1000000)</f>
        <v>0</v>
      </c>
      <c r="AE280" s="52">
        <f>[2]!s_stmnote_bank($C$6,"43",AE6,1000000)</f>
        <v>7835</v>
      </c>
      <c r="AF280" s="52">
        <f>[2]!s_stmnote_bank($C$6,"43",AF6,1000000)</f>
        <v>0</v>
      </c>
      <c r="AG280" s="52">
        <f>[2]!s_stmnote_bank($C$6,"43",AG6,1000000)</f>
        <v>14137</v>
      </c>
      <c r="AH280" s="52">
        <f>[2]!s_stmnote_bank($C$6,"43",AH6,1000000)</f>
        <v>0</v>
      </c>
      <c r="AI280" s="52">
        <f>[2]!s_stmnote_bank($C$6,"43",AI6,1000000)</f>
        <v>9066</v>
      </c>
      <c r="AJ280" s="52">
        <f>[2]!s_stmnote_bank($C$6,"43",AJ6,1000000)</f>
        <v>0</v>
      </c>
      <c r="AK280" s="52">
        <f>[2]!s_stmnote_bank($C$6,"43",AK6,1000000)</f>
        <v>8329</v>
      </c>
      <c r="AL280" s="52">
        <f>[2]!s_stmnote_bank($C$6,"43",AL6,1000000)</f>
        <v>0</v>
      </c>
      <c r="AM280" s="52">
        <f>[2]!s_stmnote_bank($C$6,"43",AM6,1000000)</f>
        <v>12625</v>
      </c>
      <c r="AN280" s="52">
        <f>[2]!s_stmnote_bank($C$6,"43",AN6,1000000)</f>
        <v>0</v>
      </c>
      <c r="AO280" s="52">
        <f>[2]!s_stmnote_bank($C$6,"43",AO6,1000000)</f>
        <v>14201</v>
      </c>
      <c r="AP280" s="52">
        <f>[2]!s_stmnote_bank($C$6,"43",AP6,1000000)</f>
        <v>0</v>
      </c>
      <c r="AQ280" s="52">
        <f>[2]!s_stmnote_bank($C$6,"43",AQ6,1000000)</f>
        <v>20087</v>
      </c>
      <c r="AR280" s="52">
        <f>[2]!s_stmnote_bank($C$6,"43",AR6,1000000)</f>
        <v>0</v>
      </c>
      <c r="AS280" s="52">
        <f>[2]!s_stmnote_bank($C$6,"43",AS6,1000000)</f>
        <v>19862</v>
      </c>
      <c r="AT280" s="52">
        <f>[2]!s_stmnote_bank($C$6,"43",AT6,1000000)</f>
        <v>0</v>
      </c>
    </row>
    <row r="281" spans="2:46" ht="13.5" x14ac:dyDescent="0.4">
      <c r="B281" s="108"/>
      <c r="C281" s="174" t="s">
        <v>213</v>
      </c>
      <c r="E281" s="203">
        <f>[2]!s_stmnote_bank_26($C$6,E6,1,1000000)</f>
        <v>137745</v>
      </c>
      <c r="F281" s="203">
        <f>[2]!s_stmnote_bank_26($C$6,F6,1,1000000)</f>
        <v>136851</v>
      </c>
      <c r="G281" s="203">
        <f>[2]!s_stmnote_bank_26($C$6,G6,1,1000000)</f>
        <v>128661</v>
      </c>
      <c r="H281" s="203">
        <f>[2]!s_stmnote_bank_26($C$6,H6,1,1000000)</f>
        <v>123851</v>
      </c>
      <c r="I281" s="203">
        <f>[2]!s_stmnote_bank_26($C$6,I6,1,1000000)</f>
        <v>111774</v>
      </c>
      <c r="J281" s="203">
        <f>[2]!s_stmnote_bank_26($C$6,J6,1,1000000)</f>
        <v>106694</v>
      </c>
      <c r="K281" s="203">
        <f>[2]!s_stmnote_bank_26($C$6,K6,1,1000000)</f>
        <v>105136</v>
      </c>
      <c r="L281" s="203">
        <f>[2]!s_stmnote_bank_26($C$6,L6,1,1000000)</f>
        <v>104881</v>
      </c>
      <c r="M281" s="203">
        <f>[2]!s_stmnote_bank_26($C$6,M6,1,1000000)</f>
        <v>104482</v>
      </c>
      <c r="N281" s="203">
        <f>[2]!s_stmnote_bank_26($C$6,N6,1,1000000)</f>
        <v>102650</v>
      </c>
      <c r="O281" s="203">
        <f>[2]!s_stmnote_bank_26($C$6,O6,1,1000000)</f>
        <v>98665</v>
      </c>
      <c r="P281" s="203">
        <f>[2]!s_stmnote_bank_26($C$6,P6,1,1000000)</f>
        <v>93533</v>
      </c>
      <c r="Q281" s="203">
        <f>[2]!s_stmnote_bank_26($C$6,Q6,1,1000000)</f>
        <v>88467</v>
      </c>
      <c r="R281" s="203">
        <f>[2]!s_stmnote_bank_26($C$6,R6,1,1000000)</f>
        <v>81609</v>
      </c>
      <c r="S281" s="203">
        <f>[2]!s_stmnote_bank_26($C$6,S6,1,1000000)</f>
        <v>80073</v>
      </c>
      <c r="T281" s="203">
        <f>[2]!s_stmnote_bank_26($C$6,T6,1,1000000)</f>
        <v>75731</v>
      </c>
      <c r="U281" s="203">
        <f>[2]!s_stmnote_bank_26($C$6,U6,1,1000000)</f>
        <v>73241</v>
      </c>
      <c r="V281" s="203">
        <f>[2]!s_stmnote_bank_26($C$6,V6,1,1000000)</f>
        <v>70774</v>
      </c>
      <c r="W281" s="203">
        <f>[2]!s_stmnote_bank_26($C$6,W6,1,1000000)</f>
        <v>69486</v>
      </c>
      <c r="X281" s="203">
        <f>[2]!s_stmnote_bank_26($C$6,X6,1,1000000)</f>
        <v>69190</v>
      </c>
      <c r="Y281" s="203">
        <f>[2]!s_stmnote_bank_26($C$6,Y6,1,1000000)</f>
        <v>73011</v>
      </c>
      <c r="Z281" s="203">
        <f>[2]!s_stmnote_bank_26($C$6,Z6,1,1000000)</f>
        <v>72819</v>
      </c>
      <c r="AA281" s="203">
        <f>[2]!s_stmnote_bank_26($C$6,AA6,1,1000000)</f>
        <v>75125</v>
      </c>
      <c r="AB281" s="203">
        <f>[2]!s_stmnote_bank_26($C$6,AB6,1,1000000)</f>
        <v>74752</v>
      </c>
      <c r="AC281" s="203">
        <f>[2]!s_stmnote_bank_26($C$6,AC6,1,1000000)</f>
        <v>74575</v>
      </c>
      <c r="AD281" s="203">
        <f>[2]!s_stmnote_bank_26($C$6,AD6,1,1000000)</f>
        <v>80237</v>
      </c>
      <c r="AE281" s="203">
        <f>[2]!s_stmnote_bank_26($C$6,AE6,1,1000000)</f>
        <v>81768</v>
      </c>
      <c r="AF281" s="203">
        <f>[2]!s_stmnote_bank_26($C$6,AF6,1,1000000)</f>
        <v>87361</v>
      </c>
      <c r="AG281" s="203">
        <f>[2]!s_stmnote_bank_26($C$6,AG6,1,1000000)</f>
        <v>93689</v>
      </c>
      <c r="AH281" s="203">
        <f>[2]!s_stmnote_bank_26($C$6,AH6,1,1000000)</f>
        <v>100550</v>
      </c>
      <c r="AI281" s="203">
        <f>[2]!s_stmnote_bank_26($C$6,AI6,1,1000000)</f>
        <v>105741</v>
      </c>
      <c r="AJ281" s="203">
        <f>[2]!s_stmnote_bank_26($C$6,AJ6,1,1000000)</f>
        <v>115471</v>
      </c>
      <c r="AK281" s="203">
        <f>[2]!s_stmnote_bank_26($C$6,AK6,1,1000000)</f>
        <v>124497</v>
      </c>
      <c r="AL281" s="203">
        <f>[2]!s_stmnote_bank_26($C$6,AL6,1,1000000)</f>
        <v>145548</v>
      </c>
      <c r="AM281" s="203">
        <f>[2]!s_stmnote_bank_26($C$6,AM6,1,1000000)</f>
        <v>163495</v>
      </c>
      <c r="AN281" s="203">
        <f>[2]!s_stmnote_bank_26($C$6,AN6,1,1000000)</f>
        <v>171408</v>
      </c>
      <c r="AO281" s="203">
        <f>[2]!s_stmnote_bank_26($C$6,AO6,1,1000000)</f>
        <v>179518</v>
      </c>
      <c r="AP281" s="203">
        <f>[2]!s_stmnote_bank_26($C$6,AP6,1,1000000)</f>
        <v>204659</v>
      </c>
      <c r="AQ281" s="203">
        <f>[2]!s_stmnote_bank_26($C$6,AQ6,1,1000000)</f>
        <v>196303</v>
      </c>
      <c r="AR281" s="203">
        <f>[2]!s_stmnote_bank_26($C$6,AR6,1,1000000)</f>
        <v>208880</v>
      </c>
      <c r="AS281" s="203">
        <f>[2]!s_stmnote_bank_26($C$6,AS6,1,1000000)</f>
        <v>211801</v>
      </c>
      <c r="AT281" s="203">
        <f>[2]!s_stmnote_bank_26($C$6,AT6,1,1000000)</f>
        <v>215285</v>
      </c>
    </row>
    <row r="282" spans="2:46" ht="13.5" x14ac:dyDescent="0.4">
      <c r="B282" s="108"/>
      <c r="C282" s="114" t="s">
        <v>135</v>
      </c>
      <c r="E282" s="204">
        <f>E112</f>
        <v>3631171</v>
      </c>
      <c r="F282" s="204">
        <f t="shared" ref="F282:AT282" si="65">F112</f>
        <v>3696433</v>
      </c>
      <c r="G282" s="204">
        <f t="shared" si="65"/>
        <v>3915606</v>
      </c>
      <c r="H282" s="204">
        <f t="shared" si="65"/>
        <v>4045054.5011999998</v>
      </c>
      <c r="I282" s="204">
        <f t="shared" si="65"/>
        <v>4073229</v>
      </c>
      <c r="J282" s="204">
        <f t="shared" si="65"/>
        <v>4251955.5968000004</v>
      </c>
      <c r="K282" s="204">
        <f t="shared" si="65"/>
        <v>4355365</v>
      </c>
      <c r="L282" s="204">
        <f t="shared" si="65"/>
        <v>4420065</v>
      </c>
      <c r="M282" s="204">
        <f t="shared" si="65"/>
        <v>4571994</v>
      </c>
      <c r="N282" s="204">
        <f t="shared" si="65"/>
        <v>5208429</v>
      </c>
      <c r="O282" s="204">
        <f t="shared" si="65"/>
        <v>5436469</v>
      </c>
      <c r="P282" s="204">
        <f t="shared" si="65"/>
        <v>5580469</v>
      </c>
      <c r="Q282" s="204">
        <f t="shared" si="65"/>
        <v>5728626</v>
      </c>
      <c r="R282" s="204">
        <f t="shared" si="65"/>
        <v>6062793</v>
      </c>
      <c r="S282" s="204">
        <f t="shared" si="65"/>
        <v>6354384</v>
      </c>
      <c r="T282" s="204">
        <f t="shared" si="65"/>
        <v>6571512</v>
      </c>
      <c r="U282" s="204">
        <f t="shared" si="65"/>
        <v>6790506</v>
      </c>
      <c r="V282" s="204">
        <f t="shared" si="65"/>
        <v>7063351</v>
      </c>
      <c r="W282" s="204">
        <f t="shared" si="65"/>
        <v>7334040</v>
      </c>
      <c r="X282" s="204">
        <f t="shared" si="65"/>
        <v>7599040</v>
      </c>
      <c r="Y282" s="204">
        <f t="shared" si="65"/>
        <v>7788897</v>
      </c>
      <c r="Z282" s="204">
        <f t="shared" si="65"/>
        <v>8158090</v>
      </c>
      <c r="AA282" s="204">
        <f t="shared" si="65"/>
        <v>8424037</v>
      </c>
      <c r="AB282" s="204">
        <f t="shared" si="65"/>
        <v>8637812</v>
      </c>
      <c r="AC282" s="204">
        <f t="shared" si="65"/>
        <v>8803692</v>
      </c>
      <c r="AD282" s="204">
        <f t="shared" si="65"/>
        <v>9264954</v>
      </c>
      <c r="AE282" s="204">
        <f t="shared" si="65"/>
        <v>9437642</v>
      </c>
      <c r="AF282" s="204">
        <f t="shared" si="65"/>
        <v>9644520</v>
      </c>
      <c r="AG282" s="204">
        <f t="shared" si="65"/>
        <v>9922374</v>
      </c>
      <c r="AH282" s="204">
        <f t="shared" si="65"/>
        <v>10372180</v>
      </c>
      <c r="AI282" s="204">
        <f t="shared" si="65"/>
        <v>10646115</v>
      </c>
      <c r="AJ282" s="204">
        <f t="shared" si="65"/>
        <v>10853652</v>
      </c>
      <c r="AK282" s="204">
        <f t="shared" si="65"/>
        <v>11026331</v>
      </c>
      <c r="AL282" s="204">
        <f t="shared" si="65"/>
        <v>11319842</v>
      </c>
      <c r="AM282" s="204">
        <f t="shared" si="65"/>
        <v>11642085</v>
      </c>
      <c r="AN282" s="204">
        <f t="shared" si="65"/>
        <v>11880659</v>
      </c>
      <c r="AO282" s="204">
        <f t="shared" si="65"/>
        <v>11933466</v>
      </c>
      <c r="AP282" s="204">
        <f t="shared" si="65"/>
        <v>12345706</v>
      </c>
      <c r="AQ282" s="204">
        <f t="shared" si="65"/>
        <v>12677317</v>
      </c>
      <c r="AR282" s="204">
        <f t="shared" si="65"/>
        <v>12914203</v>
      </c>
      <c r="AS282" s="204">
        <f t="shared" si="65"/>
        <v>13056846</v>
      </c>
      <c r="AT282" s="204">
        <f t="shared" si="65"/>
        <v>13572444</v>
      </c>
    </row>
    <row r="283" spans="2:46" ht="13.9" thickBot="1" x14ac:dyDescent="0.45">
      <c r="B283" s="108"/>
      <c r="C283" s="133" t="s">
        <v>214</v>
      </c>
      <c r="E283" s="193">
        <f>[2]!s_stmnote_bank_5n($C$6,E6,1)/100</f>
        <v>3.7900000000000003E-2</v>
      </c>
      <c r="F283" s="193">
        <f>[2]!s_stmnote_bank_5n($C$6,F6,1)/100</f>
        <v>3.6000000000000004E-2</v>
      </c>
      <c r="G283" s="193">
        <f>[2]!s_stmnote_bank_5n($C$6,G6,1)/100</f>
        <v>3.2899999999999999E-2</v>
      </c>
      <c r="H283" s="193">
        <f>[2]!s_stmnote_bank_5n($C$6,H6,1)/100</f>
        <v>3.0600000000000002E-2</v>
      </c>
      <c r="I283" s="193">
        <f>[2]!s_stmnote_bank_5n($C$6,I6,1)/100</f>
        <v>2.7400000000000001E-2</v>
      </c>
      <c r="J283" s="193">
        <f>[2]!s_stmnote_bank_5n($C$6,J6,1)/100</f>
        <v>2.5099999999999997E-2</v>
      </c>
      <c r="K283" s="193">
        <f>[2]!s_stmnote_bank_5n($C$6,K6,1)/100</f>
        <v>2.41E-2</v>
      </c>
      <c r="L283" s="193">
        <f>[2]!s_stmnote_bank_5n($C$6,L6,1)/100</f>
        <v>2.3700000000000002E-2</v>
      </c>
      <c r="M283" s="193">
        <f>[2]!s_stmnote_bank_5n($C$6,M6,1)/100</f>
        <v>2.29E-2</v>
      </c>
      <c r="N283" s="193">
        <f>[2]!s_stmnote_bank_5n($C$6,N6,1)/100</f>
        <v>1.9699999999999999E-2</v>
      </c>
      <c r="O283" s="193">
        <f>[2]!s_stmnote_bank_5n($C$6,O6,1)/100</f>
        <v>1.8100000000000002E-2</v>
      </c>
      <c r="P283" s="193">
        <f>[2]!s_stmnote_bank_5n($C$6,P6,1)/100</f>
        <v>1.6799999999999999E-2</v>
      </c>
      <c r="Q283" s="193">
        <f>[2]!s_stmnote_bank_5n($C$6,Q6,1)/100</f>
        <v>1.54E-2</v>
      </c>
      <c r="R283" s="193">
        <f>[2]!s_stmnote_bank_5n($C$6,R6,1)/100</f>
        <v>1.3500000000000002E-2</v>
      </c>
      <c r="S283" s="193">
        <f>[2]!s_stmnote_bank_5n($C$6,S6,1)/100</f>
        <v>1.26E-2</v>
      </c>
      <c r="T283" s="193">
        <f>[2]!s_stmnote_bank_5n($C$6,T6,1)/100</f>
        <v>1.15E-2</v>
      </c>
      <c r="U283" s="193">
        <f>[2]!s_stmnote_bank_5n($C$6,U6,1)/100</f>
        <v>1.0800000000000001E-2</v>
      </c>
      <c r="V283" s="193">
        <f>[2]!s_stmnote_bank_5n($C$6,V6,1)/100</f>
        <v>0.01</v>
      </c>
      <c r="W283" s="193">
        <f>[2]!s_stmnote_bank_5n($C$6,W6,1)/100</f>
        <v>9.4999999999999998E-3</v>
      </c>
      <c r="X283" s="193">
        <f>[2]!s_stmnote_bank_5n($C$6,X6,1)/100</f>
        <v>9.1000000000000004E-3</v>
      </c>
      <c r="Y283" s="193">
        <f>[2]!s_stmnote_bank_5n($C$6,Y6,1)/100</f>
        <v>9.3999999999999986E-3</v>
      </c>
      <c r="Z283" s="193">
        <f>[2]!s_stmnote_bank_5n($C$6,Z6,1)/100</f>
        <v>8.8999999999999999E-3</v>
      </c>
      <c r="AA283" s="193">
        <f>[2]!s_stmnote_bank_5n($C$6,AA6,1)/100</f>
        <v>8.8999999999999999E-3</v>
      </c>
      <c r="AB283" s="193">
        <f>[2]!s_stmnote_bank_5n($C$6,AB6,1)/100</f>
        <v>8.6999999999999994E-3</v>
      </c>
      <c r="AC283" s="193">
        <f>[2]!s_stmnote_bank_5n($C$6,AC6,1)/100</f>
        <v>8.5000000000000006E-3</v>
      </c>
      <c r="AD283" s="193">
        <f>[2]!s_stmnote_bank_5n($C$6,AD6,1)/100</f>
        <v>8.6999999999999994E-3</v>
      </c>
      <c r="AE283" s="193">
        <f>[2]!s_stmnote_bank_5n($C$6,AE6,1)/100</f>
        <v>8.6999999999999994E-3</v>
      </c>
      <c r="AF283" s="193">
        <f>[2]!s_stmnote_bank_5n($C$6,AF6,1)/100</f>
        <v>9.1000000000000004E-3</v>
      </c>
      <c r="AG283" s="193">
        <f>[2]!s_stmnote_bank_5n($C$6,AG6,1)/100</f>
        <v>9.3999999999999986E-3</v>
      </c>
      <c r="AH283" s="193">
        <f>[2]!s_stmnote_bank_5n($C$6,AH6,1)/100</f>
        <v>9.7000000000000003E-3</v>
      </c>
      <c r="AI283" s="193">
        <f>[2]!s_stmnote_bank_5n($C$6,AI6,1)/100</f>
        <v>9.8999999999999991E-3</v>
      </c>
      <c r="AJ283" s="193">
        <f>[2]!s_stmnote_bank_5n($C$6,AJ6,1)/100</f>
        <v>1.06E-2</v>
      </c>
      <c r="AK283" s="193">
        <f>[2]!s_stmnote_bank_5n($C$6,AK6,1)/100</f>
        <v>1.1299999999999999E-2</v>
      </c>
      <c r="AL283" s="193">
        <f>[2]!s_stmnote_bank_5n($C$6,AL6,1)/100</f>
        <v>1.29E-2</v>
      </c>
      <c r="AM283" s="193">
        <f>[2]!s_stmnote_bank_5n($C$6,AM6,1)/100</f>
        <v>1.3999999999999999E-2</v>
      </c>
      <c r="AN283" s="193">
        <f>[2]!s_stmnote_bank_5n($C$6,AN6,1)/100</f>
        <v>1.44E-2</v>
      </c>
      <c r="AO283" s="193">
        <f>[2]!s_stmnote_bank_5n($C$6,AO6,1)/100</f>
        <v>1.4999999999999999E-2</v>
      </c>
      <c r="AP283" s="193">
        <f>[2]!s_stmnote_bank_5n($C$6,AP6,1)/100</f>
        <v>1.66E-2</v>
      </c>
      <c r="AQ283" s="193">
        <f>[2]!s_stmnote_bank_5n($C$6,AQ6,1)/100</f>
        <v>1.55E-2</v>
      </c>
      <c r="AR283" s="193">
        <f>[2]!s_stmnote_bank_5n($C$6,AR6,1)/100</f>
        <v>1.6200000000000003E-2</v>
      </c>
      <c r="AS283" s="193">
        <f>[2]!s_stmnote_bank_5n($C$6,AS6,1)/100</f>
        <v>1.6200000000000003E-2</v>
      </c>
      <c r="AT283" s="193">
        <f>[2]!s_stmnote_bank_5n($C$6,AT6,1)/100</f>
        <v>1.5900000000000001E-2</v>
      </c>
    </row>
    <row r="284" spans="2:46" s="58" customFormat="1" ht="13.15" x14ac:dyDescent="0.35">
      <c r="B284" s="205"/>
      <c r="C284" s="57" t="s">
        <v>91</v>
      </c>
      <c r="E284" s="59">
        <f t="shared" ref="E284:AR284" si="66">IF(E278=0,0,E282-SUM(E276:E280))</f>
        <v>0</v>
      </c>
      <c r="F284" s="59">
        <f t="shared" si="66"/>
        <v>0</v>
      </c>
      <c r="G284" s="59">
        <f t="shared" si="66"/>
        <v>0</v>
      </c>
      <c r="H284" s="59">
        <f t="shared" si="66"/>
        <v>0</v>
      </c>
      <c r="I284" s="59">
        <f t="shared" si="66"/>
        <v>0</v>
      </c>
      <c r="J284" s="59">
        <f t="shared" si="66"/>
        <v>0</v>
      </c>
      <c r="K284" s="59">
        <f t="shared" si="66"/>
        <v>0</v>
      </c>
      <c r="L284" s="59">
        <f t="shared" si="66"/>
        <v>0</v>
      </c>
      <c r="M284" s="59">
        <f t="shared" si="66"/>
        <v>0</v>
      </c>
      <c r="N284" s="59">
        <f t="shared" si="66"/>
        <v>0</v>
      </c>
      <c r="O284" s="59">
        <f t="shared" si="66"/>
        <v>0</v>
      </c>
      <c r="P284" s="59">
        <f t="shared" si="66"/>
        <v>0</v>
      </c>
      <c r="Q284" s="59">
        <f t="shared" si="66"/>
        <v>0</v>
      </c>
      <c r="R284" s="59">
        <f t="shared" si="66"/>
        <v>0</v>
      </c>
      <c r="S284" s="59">
        <f t="shared" si="66"/>
        <v>0</v>
      </c>
      <c r="T284" s="59">
        <f t="shared" si="66"/>
        <v>0</v>
      </c>
      <c r="U284" s="59">
        <f t="shared" si="66"/>
        <v>0</v>
      </c>
      <c r="V284" s="59">
        <f t="shared" si="66"/>
        <v>0</v>
      </c>
      <c r="W284" s="59">
        <f t="shared" si="66"/>
        <v>0</v>
      </c>
      <c r="X284" s="59">
        <f t="shared" si="66"/>
        <v>0</v>
      </c>
      <c r="Y284" s="59">
        <f t="shared" si="66"/>
        <v>0</v>
      </c>
      <c r="Z284" s="59">
        <f t="shared" si="66"/>
        <v>0</v>
      </c>
      <c r="AA284" s="59">
        <f t="shared" si="66"/>
        <v>0</v>
      </c>
      <c r="AB284" s="59">
        <f t="shared" si="66"/>
        <v>0</v>
      </c>
      <c r="AC284" s="59">
        <f t="shared" si="66"/>
        <v>0</v>
      </c>
      <c r="AD284" s="59">
        <f t="shared" si="66"/>
        <v>0</v>
      </c>
      <c r="AE284" s="59">
        <f t="shared" si="66"/>
        <v>0</v>
      </c>
      <c r="AF284" s="59">
        <f t="shared" si="66"/>
        <v>0</v>
      </c>
      <c r="AG284" s="59">
        <f>IF(AG278=0,0,AG282-SUM(AG276:AG280))</f>
        <v>0</v>
      </c>
      <c r="AH284" s="59">
        <f t="shared" si="66"/>
        <v>0</v>
      </c>
      <c r="AI284" s="59">
        <f t="shared" si="66"/>
        <v>0</v>
      </c>
      <c r="AJ284" s="59">
        <f t="shared" si="66"/>
        <v>0</v>
      </c>
      <c r="AK284" s="59">
        <f t="shared" si="66"/>
        <v>0</v>
      </c>
      <c r="AL284" s="59">
        <f t="shared" si="66"/>
        <v>0</v>
      </c>
      <c r="AM284" s="59">
        <f t="shared" si="66"/>
        <v>0</v>
      </c>
      <c r="AN284" s="59">
        <f t="shared" si="66"/>
        <v>0</v>
      </c>
      <c r="AO284" s="59">
        <f t="shared" si="66"/>
        <v>0</v>
      </c>
      <c r="AP284" s="59">
        <f t="shared" si="66"/>
        <v>0</v>
      </c>
      <c r="AQ284" s="59">
        <f t="shared" si="66"/>
        <v>0</v>
      </c>
      <c r="AR284" s="59">
        <f t="shared" si="66"/>
        <v>0</v>
      </c>
      <c r="AS284" s="59">
        <f>IF(AS278=0,0,AS282-SUM(AS276:AS280))</f>
        <v>0</v>
      </c>
      <c r="AT284" s="59">
        <f>IF(AT278=0,0,AT282-SUM(AT276:AT280))</f>
        <v>0</v>
      </c>
    </row>
    <row r="285" spans="2:46" x14ac:dyDescent="0.35">
      <c r="B285" s="135"/>
      <c r="C285" s="206"/>
      <c r="AM285" s="24"/>
      <c r="AN285" s="207"/>
      <c r="AO285" s="24"/>
      <c r="AP285" s="24"/>
      <c r="AQ285" s="24"/>
      <c r="AR285" s="24"/>
      <c r="AS285" s="24"/>
      <c r="AT285" s="24"/>
    </row>
    <row r="286" spans="2:46" ht="13.15" x14ac:dyDescent="0.35">
      <c r="B286" s="94" t="s">
        <v>215</v>
      </c>
      <c r="C286" s="206"/>
      <c r="AG286" s="33"/>
      <c r="AK286" s="33"/>
      <c r="AO286" s="115"/>
      <c r="AP286" s="115"/>
      <c r="AQ286" s="115"/>
      <c r="AR286" s="115"/>
      <c r="AS286" s="115"/>
      <c r="AT286" s="115"/>
    </row>
    <row r="287" spans="2:46" ht="13.5" thickBot="1" x14ac:dyDescent="0.4">
      <c r="B287" s="208"/>
      <c r="C287" s="107"/>
      <c r="AG287" s="31"/>
      <c r="AK287" s="31"/>
      <c r="AO287" s="24"/>
      <c r="AS287" s="24"/>
    </row>
    <row r="288" spans="2:46" ht="13.15" x14ac:dyDescent="0.35">
      <c r="B288" s="128"/>
      <c r="C288" s="209" t="s">
        <v>216</v>
      </c>
      <c r="E288" s="42">
        <f>[2]!s_stmnote_bank_0001($C$6,E6,1,1000000)</f>
        <v>0</v>
      </c>
      <c r="F288" s="42">
        <f>[2]!s_stmnote_bank_0001($C$6,F6,1,1000000)</f>
        <v>0</v>
      </c>
      <c r="G288" s="42">
        <f>[2]!s_stmnote_bank_0001($C$6,G6,1,1000000)</f>
        <v>0</v>
      </c>
      <c r="H288" s="42">
        <f>[2]!s_stmnote_bank_0001($C$6,H6,1,1000000)</f>
        <v>0</v>
      </c>
      <c r="I288" s="42">
        <f>[2]!s_stmnote_bank_0001($C$6,I6,1,1000000)</f>
        <v>0</v>
      </c>
      <c r="J288" s="42">
        <f>[2]!s_stmnote_bank_0001($C$6,J6,1,1000000)</f>
        <v>0</v>
      </c>
      <c r="K288" s="42">
        <f>[2]!s_stmnote_bank_0001($C$6,K6,1,1000000)</f>
        <v>71220</v>
      </c>
      <c r="L288" s="42">
        <f>[2]!s_stmnote_bank_0001($C$6,L6,1,1000000)</f>
        <v>0</v>
      </c>
      <c r="M288" s="42">
        <f>[2]!s_stmnote_bank_0001($C$6,M6,1,1000000)</f>
        <v>60844</v>
      </c>
      <c r="N288" s="42">
        <f>[2]!s_stmnote_bank_0001($C$6,N6,1,1000000)</f>
        <v>0</v>
      </c>
      <c r="O288" s="42">
        <f>[2]!s_stmnote_bank_0001($C$6,O6,1,1000000)</f>
        <v>49250</v>
      </c>
      <c r="P288" s="42">
        <f>[2]!s_stmnote_bank_0001($C$6,P6,1,1000000)</f>
        <v>0</v>
      </c>
      <c r="Q288" s="42">
        <f>[2]!s_stmnote_bank_0001($C$6,Q6,1,1000000)</f>
        <v>37102</v>
      </c>
      <c r="R288" s="42">
        <f>[2]!s_stmnote_bank_0001($C$6,R6,1,1000000)</f>
        <v>0</v>
      </c>
      <c r="S288" s="42">
        <f>[2]!s_stmnote_bank_0001($C$6,S6,1,1000000)</f>
        <v>43259</v>
      </c>
      <c r="T288" s="42">
        <f>[2]!s_stmnote_bank_0001($C$6,T6,1,1000000)</f>
        <v>0</v>
      </c>
      <c r="U288" s="42">
        <f>[2]!s_stmnote_bank_0001($C$6,U6,1,1000000)</f>
        <v>37950</v>
      </c>
      <c r="V288" s="42">
        <f>[2]!s_stmnote_bank_0001($C$6,V6,1,1000000)</f>
        <v>0</v>
      </c>
      <c r="W288" s="42">
        <f>[2]!s_stmnote_bank_0001($C$6,W6,1,1000000)</f>
        <v>48786</v>
      </c>
      <c r="X288" s="42">
        <f>[2]!s_stmnote_bank_0001($C$6,X6,1,1000000)</f>
        <v>0</v>
      </c>
      <c r="Y288" s="42">
        <f>[2]!s_stmnote_bank_0001($C$6,Y6,1,1000000)</f>
        <v>49790</v>
      </c>
      <c r="Z288" s="42">
        <f>[2]!s_stmnote_bank_0001($C$6,Z6,1,1000000)</f>
        <v>0</v>
      </c>
      <c r="AA288" s="42">
        <f>[2]!s_stmnote_bank_0001($C$6,AA6,1,1000000)</f>
        <v>79568</v>
      </c>
      <c r="AB288" s="42">
        <f>[2]!s_stmnote_bank_0001($C$6,AB6,1,1000000)</f>
        <v>0</v>
      </c>
      <c r="AC288" s="42">
        <f>[2]!s_stmnote_bank_0001($C$6,AC6,1,1000000)</f>
        <v>63567</v>
      </c>
      <c r="AD288" s="42">
        <f>[2]!s_stmnote_bank_0001($C$6,AD6,1,1000000)</f>
        <v>0</v>
      </c>
      <c r="AE288" s="42">
        <f>[2]!s_stmnote_bank_0001($C$6,AE6,1,1000000)</f>
        <v>77266</v>
      </c>
      <c r="AF288" s="42">
        <f>[2]!s_stmnote_bank_0001($C$6,AF6,1,1000000)</f>
        <v>0</v>
      </c>
      <c r="AG288" s="42">
        <f>[2]!s_stmnote_bank_0001($C$6,AG6,1,1000000)</f>
        <v>53868</v>
      </c>
      <c r="AH288" s="42">
        <f>[2]!s_stmnote_bank_0001($C$6,AH6,1,1000000)</f>
        <v>0</v>
      </c>
      <c r="AI288" s="42">
        <f>[2]!s_stmnote_bank_0001($C$6,AI6,1,1000000)</f>
        <v>83327</v>
      </c>
      <c r="AJ288" s="42">
        <f>[2]!s_stmnote_bank_0001($C$6,AJ6,1,1000000)</f>
        <v>0</v>
      </c>
      <c r="AK288" s="42">
        <f>[2]!s_stmnote_bank_0001($C$6,AK6,1,1000000)</f>
        <v>95410</v>
      </c>
      <c r="AL288" s="42">
        <f>[2]!s_stmnote_bank_0001($C$6,AL6,1,1000000)</f>
        <v>0</v>
      </c>
      <c r="AM288" s="42">
        <f>[2]!s_stmnote_bank_0001($C$6,AM6,1,1000000)</f>
        <v>134433</v>
      </c>
      <c r="AN288" s="42">
        <f>[2]!s_stmnote_bank_0001($C$6,AN6,1,1000000)</f>
        <v>0</v>
      </c>
      <c r="AO288" s="42">
        <f>[2]!s_stmnote_bank_0001($C$6,AO6,1,1000000)</f>
        <v>169902</v>
      </c>
      <c r="AP288" s="42">
        <f>[2]!s_stmnote_bank_0001($C$6,AP6,1,1000000)</f>
        <v>0</v>
      </c>
      <c r="AQ288" s="42">
        <f>[2]!s_stmnote_bank_0001($C$6,AQ6,1,1000000)</f>
        <v>184570</v>
      </c>
      <c r="AR288" s="42">
        <f>[2]!s_stmnote_bank_0001($C$6,AR6,1,1000000)</f>
        <v>0</v>
      </c>
      <c r="AS288" s="42">
        <f>[2]!s_stmnote_bank_0001($C$6,AS6,1,1000000)</f>
        <v>151115</v>
      </c>
      <c r="AT288" s="42">
        <f>[2]!s_stmnote_bank_0001($C$6,AT6,1,1000000)</f>
        <v>0</v>
      </c>
    </row>
    <row r="289" spans="2:46" x14ac:dyDescent="0.35">
      <c r="B289" s="135"/>
      <c r="C289" s="209" t="s">
        <v>217</v>
      </c>
      <c r="E289" s="47">
        <f>[2]!s_stmnote_bank_0002($C$6,E6,1,1000000)</f>
        <v>0</v>
      </c>
      <c r="F289" s="47">
        <f>[2]!s_stmnote_bank_0002($C$6,F6,1,1000000)</f>
        <v>0</v>
      </c>
      <c r="G289" s="47">
        <f>[2]!s_stmnote_bank_0002($C$6,G6,1,1000000)</f>
        <v>0</v>
      </c>
      <c r="H289" s="47">
        <f>[2]!s_stmnote_bank_0002($C$6,H6,1,1000000)</f>
        <v>0</v>
      </c>
      <c r="I289" s="47">
        <f>[2]!s_stmnote_bank_0002($C$6,I6,1,1000000)</f>
        <v>0</v>
      </c>
      <c r="J289" s="47">
        <f>[2]!s_stmnote_bank_0002($C$6,J6,1,1000000)</f>
        <v>0</v>
      </c>
      <c r="K289" s="47">
        <f>[2]!s_stmnote_bank_0002($C$6,K6,1,1000000)</f>
        <v>11957</v>
      </c>
      <c r="L289" s="47">
        <f>[2]!s_stmnote_bank_0002($C$6,L6,1,1000000)</f>
        <v>0</v>
      </c>
      <c r="M289" s="47">
        <f>[2]!s_stmnote_bank_0002($C$6,M6,1,1000000)</f>
        <v>17718</v>
      </c>
      <c r="N289" s="47">
        <f>[2]!s_stmnote_bank_0002($C$6,N6,1,1000000)</f>
        <v>0</v>
      </c>
      <c r="O289" s="47">
        <f>[2]!s_stmnote_bank_0002($C$6,O6,1,1000000)</f>
        <v>23694</v>
      </c>
      <c r="P289" s="47">
        <f>[2]!s_stmnote_bank_0002($C$6,P6,1,1000000)</f>
        <v>0</v>
      </c>
      <c r="Q289" s="47">
        <f>[2]!s_stmnote_bank_0002($C$6,Q6,1,1000000)</f>
        <v>15265</v>
      </c>
      <c r="R289" s="47">
        <f>[2]!s_stmnote_bank_0002($C$6,R6,1,1000000)</f>
        <v>0</v>
      </c>
      <c r="S289" s="47">
        <f>[2]!s_stmnote_bank_0002($C$6,S6,1,1000000)</f>
        <v>9580</v>
      </c>
      <c r="T289" s="47">
        <f>[2]!s_stmnote_bank_0002($C$6,T6,1,1000000)</f>
        <v>0</v>
      </c>
      <c r="U289" s="47">
        <f>[2]!s_stmnote_bank_0002($C$6,U6,1,1000000)</f>
        <v>8512</v>
      </c>
      <c r="V289" s="47">
        <f>[2]!s_stmnote_bank_0002($C$6,V6,1,1000000)</f>
        <v>0</v>
      </c>
      <c r="W289" s="47">
        <f>[2]!s_stmnote_bank_0002($C$6,W6,1,1000000)</f>
        <v>8557</v>
      </c>
      <c r="X289" s="47">
        <f>[2]!s_stmnote_bank_0002($C$6,X6,1,1000000)</f>
        <v>0</v>
      </c>
      <c r="Y289" s="47">
        <f>[2]!s_stmnote_bank_0002($C$6,Y6,1,1000000)</f>
        <v>11014</v>
      </c>
      <c r="Z289" s="47">
        <f>[2]!s_stmnote_bank_0002($C$6,Z6,1,1000000)</f>
        <v>0</v>
      </c>
      <c r="AA289" s="47">
        <f>[2]!s_stmnote_bank_0002($C$6,AA6,1,1000000)</f>
        <v>17123</v>
      </c>
      <c r="AB289" s="47">
        <f>[2]!s_stmnote_bank_0002($C$6,AB6,1,1000000)</f>
        <v>0</v>
      </c>
      <c r="AC289" s="47">
        <f>[2]!s_stmnote_bank_0002($C$6,AC6,1,1000000)</f>
        <v>21388</v>
      </c>
      <c r="AD289" s="47">
        <f>[2]!s_stmnote_bank_0002($C$6,AD6,1,1000000)</f>
        <v>0</v>
      </c>
      <c r="AE289" s="47">
        <f>[2]!s_stmnote_bank_0002($C$6,AE6,1,1000000)</f>
        <v>27612</v>
      </c>
      <c r="AF289" s="47">
        <f>[2]!s_stmnote_bank_0002($C$6,AF6,1,1000000)</f>
        <v>0</v>
      </c>
      <c r="AG289" s="47">
        <f>[2]!s_stmnote_bank_0002($C$6,AG6,1,1000000)</f>
        <v>36230</v>
      </c>
      <c r="AH289" s="47">
        <f>[2]!s_stmnote_bank_0002($C$6,AH6,1,1000000)</f>
        <v>0</v>
      </c>
      <c r="AI289" s="47">
        <f>[2]!s_stmnote_bank_0002($C$6,AI6,1,1000000)</f>
        <v>49936</v>
      </c>
      <c r="AJ289" s="47">
        <f>[2]!s_stmnote_bank_0002($C$6,AJ6,1,1000000)</f>
        <v>0</v>
      </c>
      <c r="AK289" s="47">
        <f>[2]!s_stmnote_bank_0002($C$6,AK6,1,1000000)</f>
        <v>65134</v>
      </c>
      <c r="AL289" s="47">
        <f>[2]!s_stmnote_bank_0002($C$6,AL6,1,1000000)</f>
        <v>0</v>
      </c>
      <c r="AM289" s="47">
        <f>[2]!s_stmnote_bank_0002($C$6,AM6,1,1000000)</f>
        <v>95266</v>
      </c>
      <c r="AN289" s="47">
        <f>[2]!s_stmnote_bank_0002($C$6,AN6,1,1000000)</f>
        <v>0</v>
      </c>
      <c r="AO289" s="47">
        <f>[2]!s_stmnote_bank_0002($C$6,AO6,1,1000000)</f>
        <v>84808</v>
      </c>
      <c r="AP289" s="47">
        <f>[2]!s_stmnote_bank_0002($C$6,AP6,1,1000000)</f>
        <v>0</v>
      </c>
      <c r="AQ289" s="47">
        <f>[2]!s_stmnote_bank_0002($C$6,AQ6,1,1000000)</f>
        <v>89211</v>
      </c>
      <c r="AR289" s="47">
        <f>[2]!s_stmnote_bank_0002($C$6,AR6,1,1000000)</f>
        <v>0</v>
      </c>
      <c r="AS289" s="47">
        <f>[2]!s_stmnote_bank_0002($C$6,AS6,1,1000000)</f>
        <v>75550</v>
      </c>
      <c r="AT289" s="47">
        <f>[2]!s_stmnote_bank_0002($C$6,AT6,1,1000000)</f>
        <v>0</v>
      </c>
    </row>
    <row r="290" spans="2:46" x14ac:dyDescent="0.35">
      <c r="B290" s="135"/>
      <c r="C290" s="209" t="s">
        <v>218</v>
      </c>
      <c r="E290" s="47">
        <f>[2]!s_stmnote_bank_0003($C$6,E7,1,1000000)</f>
        <v>0</v>
      </c>
      <c r="F290" s="47">
        <f>[2]!s_stmnote_bank_0003($C$6,F7,1,1000000)</f>
        <v>0</v>
      </c>
      <c r="G290" s="47">
        <f>[2]!s_stmnote_bank_0003($C$6,G7,1,1000000)</f>
        <v>0</v>
      </c>
      <c r="H290" s="47">
        <f>[2]!s_stmnote_bank_0003($C$6,H7,1,1000000)</f>
        <v>0</v>
      </c>
      <c r="I290" s="47">
        <f>[2]!s_stmnote_bank_0003($C$6,I7,1,1000000)</f>
        <v>0</v>
      </c>
      <c r="J290" s="47">
        <f>[2]!s_stmnote_bank_0003($C$6,J7,1,1000000)</f>
        <v>0</v>
      </c>
      <c r="K290" s="47">
        <f>[2]!s_stmnote_bank_0003($C$6,K7,1,1000000)</f>
        <v>0</v>
      </c>
      <c r="L290" s="47">
        <f>[2]!s_stmnote_bank_0003($C$6,L7,1,1000000)</f>
        <v>0</v>
      </c>
      <c r="M290" s="47">
        <f>[2]!s_stmnote_bank_0003($C$6,M7,1,1000000)</f>
        <v>0</v>
      </c>
      <c r="N290" s="47">
        <f>[2]!s_stmnote_bank_0003($C$6,N7,1,1000000)</f>
        <v>0</v>
      </c>
      <c r="O290" s="47">
        <f>[2]!s_stmnote_bank_0003($C$6,O7,1,1000000)</f>
        <v>0</v>
      </c>
      <c r="P290" s="47">
        <f>[2]!s_stmnote_bank_0003($C$6,P7,1,1000000)</f>
        <v>0</v>
      </c>
      <c r="Q290" s="47">
        <f>[2]!s_stmnote_bank_0003($C$6,Q7,1,1000000)</f>
        <v>0</v>
      </c>
      <c r="R290" s="47">
        <f>[2]!s_stmnote_bank_0003($C$6,R7,1,1000000)</f>
        <v>0</v>
      </c>
      <c r="S290" s="47">
        <f>[2]!s_stmnote_bank_0003($C$6,S7,1,1000000)</f>
        <v>0</v>
      </c>
      <c r="T290" s="47">
        <f>[2]!s_stmnote_bank_0003($C$6,T7,1,1000000)</f>
        <v>0</v>
      </c>
      <c r="U290" s="47">
        <f>[2]!s_stmnote_bank_0003($C$6,U7,1,1000000)</f>
        <v>0</v>
      </c>
      <c r="V290" s="47">
        <f>[2]!s_stmnote_bank_0003($C$6,V7,1,1000000)</f>
        <v>0</v>
      </c>
      <c r="W290" s="47">
        <f>[2]!s_stmnote_bank_0003($C$6,W7,1,1000000)</f>
        <v>0</v>
      </c>
      <c r="X290" s="47">
        <f>[2]!s_stmnote_bank_0003($C$6,X7,1,1000000)</f>
        <v>0</v>
      </c>
      <c r="Y290" s="47">
        <f>[2]!s_stmnote_bank_0003($C$6,Y7,1,1000000)</f>
        <v>0</v>
      </c>
      <c r="Z290" s="47">
        <f>[2]!s_stmnote_bank_0003($C$6,Z7,1,1000000)</f>
        <v>0</v>
      </c>
      <c r="AA290" s="47">
        <f>[2]!s_stmnote_bank_0003($C$6,AA7,1,1000000)</f>
        <v>0</v>
      </c>
      <c r="AB290" s="47">
        <f>[2]!s_stmnote_bank_0003($C$6,AB7,1,1000000)</f>
        <v>0</v>
      </c>
      <c r="AC290" s="47">
        <f>[2]!s_stmnote_bank_0003($C$6,AC7,1,1000000)</f>
        <v>0</v>
      </c>
      <c r="AD290" s="47">
        <f>[2]!s_stmnote_bank_0003($C$6,AD7,1,1000000)</f>
        <v>0</v>
      </c>
      <c r="AE290" s="47">
        <f>[2]!s_stmnote_bank_0003($C$6,AE7,1,1000000)</f>
        <v>0</v>
      </c>
      <c r="AF290" s="47">
        <f>[2]!s_stmnote_bank_0003($C$6,AF7,1,1000000)</f>
        <v>0</v>
      </c>
      <c r="AG290" s="47">
        <f>[2]!s_stmnote_bank_0003($C$6,AG7,1,1000000)</f>
        <v>0</v>
      </c>
      <c r="AH290" s="47">
        <f>[2]!s_stmnote_bank_0003($C$6,AH7,1,1000000)</f>
        <v>0</v>
      </c>
      <c r="AI290" s="47">
        <f>[2]!s_stmnote_bank_0003($C$6,AI7,1,1000000)</f>
        <v>0</v>
      </c>
      <c r="AJ290" s="47">
        <f>[2]!s_stmnote_bank_0003($C$6,AJ7,1,1000000)</f>
        <v>0</v>
      </c>
      <c r="AK290" s="47">
        <f>[2]!s_stmnote_bank_0003($C$6,AK7,1,1000000)</f>
        <v>0</v>
      </c>
      <c r="AL290" s="47">
        <f>[2]!s_stmnote_bank_0003($C$6,AL7,1,1000000)</f>
        <v>0</v>
      </c>
      <c r="AM290" s="47">
        <f>[2]!s_stmnote_bank_0003($C$6,AM7,1,1000000)</f>
        <v>0</v>
      </c>
      <c r="AN290" s="47">
        <f>[2]!s_stmnote_bank_0003($C$6,AN7,1,1000000)</f>
        <v>0</v>
      </c>
      <c r="AO290" s="47">
        <f>[2]!s_stmnote_bank_0003($C$6,AO7,1,1000000)</f>
        <v>0</v>
      </c>
      <c r="AP290" s="47">
        <f>[2]!s_stmnote_bank_0003($C$6,AP7,1,1000000)</f>
        <v>0</v>
      </c>
      <c r="AQ290" s="47">
        <f>[2]!s_stmnote_bank_0003($C$6,AQ7,1,1000000)</f>
        <v>0</v>
      </c>
      <c r="AR290" s="47">
        <f>[2]!s_stmnote_bank_0003($C$6,AR7,1,1000000)</f>
        <v>0</v>
      </c>
      <c r="AS290" s="47">
        <f>[2]!s_stmnote_bank_0003($C$6,AS7,1,1000000)</f>
        <v>0</v>
      </c>
      <c r="AT290" s="47">
        <f>[2]!s_stmnote_bank_0003($C$6,AT7,1,1000000)</f>
        <v>0</v>
      </c>
    </row>
    <row r="291" spans="2:46" x14ac:dyDescent="0.35">
      <c r="B291" s="135"/>
      <c r="C291" s="209" t="s">
        <v>219</v>
      </c>
      <c r="E291" s="47">
        <f>[2]!s_stmnote_bank_0004($C$6,E6,1,1000000)</f>
        <v>0</v>
      </c>
      <c r="F291" s="47">
        <f>[2]!s_stmnote_bank_0004($C$6,F6,1,1000000)</f>
        <v>0</v>
      </c>
      <c r="G291" s="47">
        <f>[2]!s_stmnote_bank_0004($C$6,G6,1,1000000)</f>
        <v>0</v>
      </c>
      <c r="H291" s="47">
        <f>[2]!s_stmnote_bank_0004($C$6,H6,1,1000000)</f>
        <v>0</v>
      </c>
      <c r="I291" s="47">
        <f>[2]!s_stmnote_bank_0004($C$6,I6,1,1000000)</f>
        <v>0</v>
      </c>
      <c r="J291" s="47">
        <f>[2]!s_stmnote_bank_0004($C$6,J6,1,1000000)</f>
        <v>0</v>
      </c>
      <c r="K291" s="47">
        <f>[2]!s_stmnote_bank_0004($C$6,K6,1,1000000)</f>
        <v>44315</v>
      </c>
      <c r="L291" s="47">
        <f>[2]!s_stmnote_bank_0004($C$6,L6,1,1000000)</f>
        <v>0</v>
      </c>
      <c r="M291" s="47">
        <f>[2]!s_stmnote_bank_0004($C$6,M6,1,1000000)</f>
        <v>44326</v>
      </c>
      <c r="N291" s="47">
        <f>[2]!s_stmnote_bank_0004($C$6,N6,1,1000000)</f>
        <v>0</v>
      </c>
      <c r="O291" s="47">
        <f>[2]!s_stmnote_bank_0004($C$6,O6,1,1000000)</f>
        <v>41509</v>
      </c>
      <c r="P291" s="47">
        <f>[2]!s_stmnote_bank_0004($C$6,P6,1,1000000)</f>
        <v>0</v>
      </c>
      <c r="Q291" s="47">
        <f>[2]!s_stmnote_bank_0004($C$6,Q6,1,1000000)</f>
        <v>39063</v>
      </c>
      <c r="R291" s="47">
        <f>[2]!s_stmnote_bank_0004($C$6,R6,1,1000000)</f>
        <v>0</v>
      </c>
      <c r="S291" s="47">
        <f>[2]!s_stmnote_bank_0004($C$6,S6,1,1000000)</f>
        <v>37764</v>
      </c>
      <c r="T291" s="47">
        <f>[2]!s_stmnote_bank_0004($C$6,T6,1,1000000)</f>
        <v>0</v>
      </c>
      <c r="U291" s="47">
        <f>[2]!s_stmnote_bank_0004($C$6,U6,1,1000000)</f>
        <v>33349</v>
      </c>
      <c r="V291" s="47">
        <f>[2]!s_stmnote_bank_0004($C$6,V6,1,1000000)</f>
        <v>0</v>
      </c>
      <c r="W291" s="47">
        <f>[2]!s_stmnote_bank_0004($C$6,W6,1,1000000)</f>
        <v>31093</v>
      </c>
      <c r="X291" s="47">
        <f>[2]!s_stmnote_bank_0004($C$6,X6,1,1000000)</f>
        <v>0</v>
      </c>
      <c r="Y291" s="47">
        <f>[2]!s_stmnote_bank_0004($C$6,Y6,1,1000000)</f>
        <v>31981</v>
      </c>
      <c r="Z291" s="47">
        <f>[2]!s_stmnote_bank_0004($C$6,Z6,1,1000000)</f>
        <v>0</v>
      </c>
      <c r="AA291" s="47">
        <f>[2]!s_stmnote_bank_0004($C$6,AA6,1,1000000)</f>
        <v>32076</v>
      </c>
      <c r="AB291" s="47">
        <f>[2]!s_stmnote_bank_0004($C$6,AB6,1,1000000)</f>
        <v>0</v>
      </c>
      <c r="AC291" s="47">
        <f>[2]!s_stmnote_bank_0004($C$6,AC6,1,1000000)</f>
        <v>28009</v>
      </c>
      <c r="AD291" s="47">
        <f>[2]!s_stmnote_bank_0004($C$6,AD6,1,1000000)</f>
        <v>0</v>
      </c>
      <c r="AE291" s="47">
        <f>[2]!s_stmnote_bank_0004($C$6,AE6,1,1000000)</f>
        <v>25571</v>
      </c>
      <c r="AF291" s="47">
        <f>[2]!s_stmnote_bank_0004($C$6,AF6,1,1000000)</f>
        <v>0</v>
      </c>
      <c r="AG291" s="47">
        <f>[2]!s_stmnote_bank_0004($C$6,AG6,1,1000000)</f>
        <v>22685</v>
      </c>
      <c r="AH291" s="47">
        <f>[2]!s_stmnote_bank_0004($C$6,AH6,1,1000000)</f>
        <v>0</v>
      </c>
      <c r="AI291" s="47">
        <f>[2]!s_stmnote_bank_0004($C$6,AI6,1,1000000)</f>
        <v>19432</v>
      </c>
      <c r="AJ291" s="47">
        <f>[2]!s_stmnote_bank_0004($C$6,AJ6,1,1000000)</f>
        <v>0</v>
      </c>
      <c r="AK291" s="47">
        <f>[2]!s_stmnote_bank_0004($C$6,AK6,1,1000000)</f>
        <v>14882</v>
      </c>
      <c r="AL291" s="47">
        <f>[2]!s_stmnote_bank_0004($C$6,AL6,1,1000000)</f>
        <v>0</v>
      </c>
      <c r="AM291" s="47">
        <f>[2]!s_stmnote_bank_0004($C$6,AM6,1,1000000)</f>
        <v>15294</v>
      </c>
      <c r="AN291" s="47">
        <f>[2]!s_stmnote_bank_0004($C$6,AN6,1,1000000)</f>
        <v>0</v>
      </c>
      <c r="AO291" s="47">
        <f>[2]!s_stmnote_bank_0004($C$6,AO6,1,1000000)</f>
        <v>15205</v>
      </c>
      <c r="AP291" s="47">
        <f>[2]!s_stmnote_bank_0004($C$6,AP6,1,1000000)</f>
        <v>0</v>
      </c>
      <c r="AQ291" s="47">
        <f>[2]!s_stmnote_bank_0004($C$6,AQ6,1,1000000)</f>
        <v>15714</v>
      </c>
      <c r="AR291" s="47">
        <f>[2]!s_stmnote_bank_0004($C$6,AR6,1,1000000)</f>
        <v>0</v>
      </c>
      <c r="AS291" s="47">
        <f>[2]!s_stmnote_bank_0004($C$6,AS6,1,1000000)</f>
        <v>17546</v>
      </c>
      <c r="AT291" s="47">
        <f>[2]!s_stmnote_bank_0004($C$6,AT6,1,1000000)</f>
        <v>0</v>
      </c>
    </row>
    <row r="292" spans="2:46" ht="13.5" thickBot="1" x14ac:dyDescent="0.45">
      <c r="B292" s="108"/>
      <c r="C292" s="210" t="s">
        <v>220</v>
      </c>
      <c r="E292" s="211">
        <f>SUM(E288:E291)</f>
        <v>0</v>
      </c>
      <c r="F292" s="211">
        <f t="shared" ref="F292:AT292" si="67">SUM(F288:F291)</f>
        <v>0</v>
      </c>
      <c r="G292" s="211">
        <f t="shared" si="67"/>
        <v>0</v>
      </c>
      <c r="H292" s="211">
        <f t="shared" si="67"/>
        <v>0</v>
      </c>
      <c r="I292" s="211">
        <f t="shared" si="67"/>
        <v>0</v>
      </c>
      <c r="J292" s="211">
        <f t="shared" si="67"/>
        <v>0</v>
      </c>
      <c r="K292" s="211">
        <f t="shared" si="67"/>
        <v>127492</v>
      </c>
      <c r="L292" s="211">
        <f t="shared" si="67"/>
        <v>0</v>
      </c>
      <c r="M292" s="211">
        <f t="shared" si="67"/>
        <v>122888</v>
      </c>
      <c r="N292" s="211">
        <f t="shared" si="67"/>
        <v>0</v>
      </c>
      <c r="O292" s="211">
        <f t="shared" si="67"/>
        <v>114453</v>
      </c>
      <c r="P292" s="211">
        <f t="shared" si="67"/>
        <v>0</v>
      </c>
      <c r="Q292" s="211">
        <f t="shared" si="67"/>
        <v>91430</v>
      </c>
      <c r="R292" s="211">
        <f t="shared" si="67"/>
        <v>0</v>
      </c>
      <c r="S292" s="211">
        <f t="shared" si="67"/>
        <v>90603</v>
      </c>
      <c r="T292" s="211">
        <f t="shared" si="67"/>
        <v>0</v>
      </c>
      <c r="U292" s="211">
        <f t="shared" si="67"/>
        <v>79811</v>
      </c>
      <c r="V292" s="211">
        <f t="shared" si="67"/>
        <v>0</v>
      </c>
      <c r="W292" s="211">
        <f t="shared" si="67"/>
        <v>88436</v>
      </c>
      <c r="X292" s="211">
        <f t="shared" si="67"/>
        <v>0</v>
      </c>
      <c r="Y292" s="211">
        <f t="shared" si="67"/>
        <v>92785</v>
      </c>
      <c r="Z292" s="211">
        <f t="shared" si="67"/>
        <v>0</v>
      </c>
      <c r="AA292" s="211">
        <f t="shared" si="67"/>
        <v>128767</v>
      </c>
      <c r="AB292" s="211">
        <f t="shared" si="67"/>
        <v>0</v>
      </c>
      <c r="AC292" s="211">
        <f t="shared" si="67"/>
        <v>112964</v>
      </c>
      <c r="AD292" s="211">
        <f t="shared" si="67"/>
        <v>0</v>
      </c>
      <c r="AE292" s="211">
        <f t="shared" si="67"/>
        <v>130449</v>
      </c>
      <c r="AF292" s="211">
        <f t="shared" si="67"/>
        <v>0</v>
      </c>
      <c r="AG292" s="211">
        <f t="shared" si="67"/>
        <v>112783</v>
      </c>
      <c r="AH292" s="211">
        <f t="shared" si="67"/>
        <v>0</v>
      </c>
      <c r="AI292" s="211">
        <f t="shared" si="67"/>
        <v>152695</v>
      </c>
      <c r="AJ292" s="211">
        <f t="shared" si="67"/>
        <v>0</v>
      </c>
      <c r="AK292" s="211">
        <f>SUM(AK288:AK291)</f>
        <v>175426</v>
      </c>
      <c r="AL292" s="211">
        <f t="shared" si="67"/>
        <v>0</v>
      </c>
      <c r="AM292" s="211">
        <f t="shared" si="67"/>
        <v>244993</v>
      </c>
      <c r="AN292" s="211">
        <f t="shared" si="67"/>
        <v>0</v>
      </c>
      <c r="AO292" s="211">
        <f t="shared" si="67"/>
        <v>269915</v>
      </c>
      <c r="AP292" s="211">
        <f t="shared" si="67"/>
        <v>0</v>
      </c>
      <c r="AQ292" s="211">
        <f t="shared" si="67"/>
        <v>289495</v>
      </c>
      <c r="AR292" s="211">
        <f t="shared" si="67"/>
        <v>0</v>
      </c>
      <c r="AS292" s="211">
        <f>SUM(AS288:AS291)</f>
        <v>244211</v>
      </c>
      <c r="AT292" s="211">
        <f t="shared" si="67"/>
        <v>0</v>
      </c>
    </row>
    <row r="293" spans="2:46" x14ac:dyDescent="0.35">
      <c r="B293" s="135"/>
      <c r="C293" s="206"/>
      <c r="AM293" s="207"/>
      <c r="AO293" s="212"/>
      <c r="AQ293" s="207"/>
      <c r="AS293" s="212"/>
    </row>
    <row r="294" spans="2:46" ht="13.5" thickBot="1" x14ac:dyDescent="0.4">
      <c r="B294" s="114" t="s">
        <v>221</v>
      </c>
    </row>
    <row r="295" spans="2:46" ht="13.15" x14ac:dyDescent="0.35">
      <c r="B295" s="128"/>
      <c r="C295" s="213" t="s">
        <v>222</v>
      </c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42">
        <f>[2]!s_div_aualaccmdiv($C$6,2012,1000000)</f>
        <v>83564.608258342007</v>
      </c>
      <c r="AD295" s="214"/>
      <c r="AE295" s="214"/>
      <c r="AF295" s="214"/>
      <c r="AG295" s="42">
        <f>[2]!s_div_aualaccmdiv($C$6,2013,1000000)</f>
        <v>91959.637087421186</v>
      </c>
      <c r="AH295" s="214"/>
      <c r="AI295" s="214"/>
      <c r="AJ295" s="214"/>
      <c r="AK295" s="42">
        <f>[2]!s_div_aualaccmdiv($C$6,2014,1000000)</f>
        <v>91026.158060530579</v>
      </c>
      <c r="AL295" s="42"/>
      <c r="AM295" s="42"/>
      <c r="AN295" s="42"/>
      <c r="AO295" s="42">
        <f>[2]!s_div_aualaccmdiv($C$6,2015,1000000)</f>
        <v>83149.579778863699</v>
      </c>
      <c r="AP295" s="42"/>
      <c r="AQ295" s="42"/>
      <c r="AR295" s="42"/>
      <c r="AS295" s="42">
        <f>[2]!s_div_aualaccmdiv($C$6,2016,1000000)</f>
        <v>83505.986035952694</v>
      </c>
      <c r="AT295" s="214"/>
    </row>
    <row r="296" spans="2:46" ht="13.5" thickBot="1" x14ac:dyDescent="0.4">
      <c r="C296" s="215" t="s">
        <v>223</v>
      </c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7">
        <f>[2]!s_div_cashbeforetax($C$6,AC6)</f>
        <v>0.23900000000000002</v>
      </c>
      <c r="AD296" s="216"/>
      <c r="AE296" s="216"/>
      <c r="AF296" s="216"/>
      <c r="AG296" s="217">
        <f>[2]!s_div_cashbeforetax($C$6,AG6)</f>
        <v>0.26169999999999999</v>
      </c>
      <c r="AH296" s="216"/>
      <c r="AI296" s="216"/>
      <c r="AJ296" s="216"/>
      <c r="AK296" s="217">
        <f>[2]!s_div_cashbeforetax($C$6,AK6)</f>
        <v>0.25539999999999996</v>
      </c>
      <c r="AL296" s="217"/>
      <c r="AM296" s="217"/>
      <c r="AN296" s="217"/>
      <c r="AO296" s="217">
        <f>[2]!s_div_cashbeforetax($C$6,AO6)</f>
        <v>0.23330000000000001</v>
      </c>
      <c r="AP296" s="217"/>
      <c r="AQ296" s="217"/>
      <c r="AR296" s="217"/>
      <c r="AS296" s="217">
        <f>[2]!s_div_cashbeforetax($C$6,AS6)</f>
        <v>0.23430000000000001</v>
      </c>
      <c r="AT296" s="216"/>
    </row>
    <row r="299" spans="2:46" ht="13.5" thickBot="1" x14ac:dyDescent="0.4">
      <c r="B299" s="94" t="s">
        <v>224</v>
      </c>
    </row>
    <row r="300" spans="2:46" ht="13.15" x14ac:dyDescent="0.35">
      <c r="B300" s="128"/>
      <c r="C300" s="213" t="s">
        <v>225</v>
      </c>
      <c r="E300" s="218">
        <f>[2]!s_stmnote_bank_6n($C$6,E6,1)/100</f>
        <v>0.505</v>
      </c>
      <c r="F300" s="218">
        <f>[2]!s_stmnote_bank_6n($C$6,F6,1)/100</f>
        <v>0</v>
      </c>
      <c r="G300" s="218">
        <f>[2]!s_stmnote_bank_6n($C$6,G6,1)/100</f>
        <v>0.53</v>
      </c>
      <c r="H300" s="218">
        <f>[2]!s_stmnote_bank_6n($C$6,H6,1)/100</f>
        <v>0</v>
      </c>
      <c r="I300" s="218">
        <f>[2]!s_stmnote_bank_6n($C$6,I6,1)/100</f>
        <v>0.56299999999999994</v>
      </c>
      <c r="J300" s="218">
        <f>[2]!s_stmnote_bank_6n($C$6,J6,1)/100</f>
        <v>0</v>
      </c>
      <c r="K300" s="218">
        <f>[2]!s_stmnote_bank_6n($C$6,K6,1)/100</f>
        <v>0.58599999999999997</v>
      </c>
      <c r="L300" s="218">
        <f>[2]!s_stmnote_bank_6n($C$6,L6,1)/100</f>
        <v>0.56679999999999997</v>
      </c>
      <c r="M300" s="218">
        <f>[2]!s_stmnote_bank_6n($C$6,M6,1)/100</f>
        <v>0.56399999999999995</v>
      </c>
      <c r="N300" s="218">
        <f>[2]!s_stmnote_bank_6n($C$6,N6,1)/100</f>
        <v>0.57600000000000007</v>
      </c>
      <c r="O300" s="218">
        <f>[2]!s_stmnote_bank_6n($C$6,O6,1)/100</f>
        <v>0.57600000000000007</v>
      </c>
      <c r="P300" s="218">
        <f>[2]!s_stmnote_bank_6n($C$6,P6,1)/100</f>
        <v>0.5786</v>
      </c>
      <c r="Q300" s="218">
        <f>[2]!s_stmnote_bank_6n($C$6,Q6,1)/100</f>
        <v>0.59499999999999997</v>
      </c>
      <c r="R300" s="218">
        <f>[2]!s_stmnote_bank_6n($C$6,R6,1)/100</f>
        <v>0.59360000000000002</v>
      </c>
      <c r="S300" s="218">
        <f>[2]!s_stmnote_bank_6n($C$6,S6,1)/100</f>
        <v>0.59499999999999997</v>
      </c>
      <c r="T300" s="218">
        <f>[2]!s_stmnote_bank_6n($C$6,T6,1)/100</f>
        <v>0.59150000000000003</v>
      </c>
      <c r="U300" s="218">
        <f>[2]!s_stmnote_bank_6n($C$6,U6,1)/100</f>
        <v>0.62</v>
      </c>
      <c r="V300" s="218">
        <f>[2]!s_stmnote_bank_6n($C$6,V6,1)/100</f>
        <v>0.6099</v>
      </c>
      <c r="W300" s="218">
        <f>[2]!s_stmnote_bank_6n($C$6,W6,1)/100</f>
        <v>0.61199999999999999</v>
      </c>
      <c r="X300" s="218">
        <f>[2]!s_stmnote_bank_6n($C$6,X6,1)/100</f>
        <v>0.62659999999999993</v>
      </c>
      <c r="Y300" s="218">
        <f>[2]!s_stmnote_bank_6n($C$6,Y6,1)/100</f>
        <v>0.63500000000000001</v>
      </c>
      <c r="Z300" s="218">
        <f>[2]!s_stmnote_bank_6n($C$6,Z6,1)/100</f>
        <v>0.6371</v>
      </c>
      <c r="AA300" s="218">
        <f>[2]!s_stmnote_bank_6n($C$6,AA6,1)/100</f>
        <v>0.63100000000000001</v>
      </c>
      <c r="AB300" s="218">
        <f>[2]!s_stmnote_bank_6n($C$6,AB6,1)/100</f>
        <v>0.63200000000000001</v>
      </c>
      <c r="AC300" s="218">
        <f>[2]!s_stmnote_bank_6n($C$6,AC6,1)/100</f>
        <v>0.6409999999999999</v>
      </c>
      <c r="AD300" s="218">
        <f>[2]!s_stmnote_bank_6n($C$6,AD6,1)/100</f>
        <v>0.64200000000000002</v>
      </c>
      <c r="AE300" s="218">
        <f>[2]!s_stmnote_bank_6n($C$6,AE6,1)/100</f>
        <v>0.64800000000000002</v>
      </c>
      <c r="AF300" s="218">
        <f>[2]!s_stmnote_bank_6n($C$6,AF6,1)/100</f>
        <v>0.65200000000000002</v>
      </c>
      <c r="AG300" s="218">
        <f>[2]!s_stmnote_bank_6n($C$6,AG6,1)/100</f>
        <v>0.66599999999999993</v>
      </c>
      <c r="AH300" s="218">
        <f>[2]!s_stmnote_bank_6n($C$6,AH6,1)/100</f>
        <v>0.67299999999999993</v>
      </c>
      <c r="AI300" s="218">
        <f>[2]!s_stmnote_bank_6n($C$6,AI6,1)/100</f>
        <v>0.66299999999999992</v>
      </c>
      <c r="AJ300" s="218">
        <f>[2]!s_stmnote_bank_6n($C$6,AJ6,1)/100</f>
        <v>0.68099999999999994</v>
      </c>
      <c r="AK300" s="218">
        <f>[2]!s_stmnote_bank_6n($C$6,AK6,1)/100</f>
        <v>0.68400000000000005</v>
      </c>
      <c r="AL300" s="218">
        <f>[2]!s_stmnote_bank_6n($C$6,AL6,1)/100</f>
        <v>0.68590000000000007</v>
      </c>
      <c r="AM300" s="218">
        <f>[2]!s_stmnote_bank_6n($C$6,AM6,1)/100</f>
        <v>0.68900000000000006</v>
      </c>
      <c r="AN300" s="218">
        <f>[2]!s_stmnote_bank_6n($C$6,AN6,1)/100</f>
        <v>0.69440000000000002</v>
      </c>
      <c r="AO300" s="218">
        <f>[2]!s_stmnote_bank_6n($C$6,AO6,1)/100</f>
        <v>0.71400000000000008</v>
      </c>
      <c r="AP300" s="218">
        <f>[2]!s_stmnote_bank_6n($C$6,AP6,1)/100</f>
        <v>0.7245950000000001</v>
      </c>
      <c r="AQ300" s="218">
        <f>[2]!s_stmnote_bank_6n($C$6,AQ6,1)/100</f>
        <v>0.70799999999999996</v>
      </c>
      <c r="AR300" s="218">
        <f>[2]!s_stmnote_bank_6n($C$6,AR6,1)/100</f>
        <v>0.72738000000000003</v>
      </c>
      <c r="AS300" s="218">
        <f>[2]!s_stmnote_bank_6n($C$6,AS6,1)/100</f>
        <v>0.70900000000000007</v>
      </c>
      <c r="AT300" s="218">
        <f>[2]!s_stmnote_bank_6n($C$6,AT6,1)/100</f>
        <v>0.73107699999999998</v>
      </c>
    </row>
    <row r="303" spans="2:46" s="544" customFormat="1" ht="13.15" thickBot="1" x14ac:dyDescent="0.4"/>
    <row r="304" spans="2:46" s="286" customFormat="1" ht="13.5" thickTop="1" x14ac:dyDescent="0.4"/>
    <row r="305" spans="2:12" s="286" customFormat="1" ht="13.5" x14ac:dyDescent="0.4">
      <c r="B305" s="315" t="s">
        <v>518</v>
      </c>
      <c r="C305" s="467"/>
      <c r="D305" s="467"/>
      <c r="E305" s="467"/>
      <c r="F305" s="467"/>
      <c r="G305" s="467"/>
      <c r="H305" s="467"/>
      <c r="I305" s="468"/>
      <c r="J305" s="467"/>
      <c r="K305" s="467"/>
    </row>
    <row r="306" spans="2:12" s="286" customFormat="1" ht="13.15" x14ac:dyDescent="0.4">
      <c r="C306" s="538" t="s">
        <v>500</v>
      </c>
      <c r="E306" s="285">
        <v>40908</v>
      </c>
      <c r="F306" s="470">
        <v>41274</v>
      </c>
      <c r="G306" s="470">
        <v>41639</v>
      </c>
      <c r="H306" s="470">
        <v>42004</v>
      </c>
      <c r="I306" s="470">
        <v>42369</v>
      </c>
      <c r="J306" s="470">
        <v>42551</v>
      </c>
      <c r="K306" s="471">
        <v>42735</v>
      </c>
      <c r="L306" s="470">
        <v>42916</v>
      </c>
    </row>
    <row r="307" spans="2:12" s="286" customFormat="1" ht="13.15" x14ac:dyDescent="0.4">
      <c r="C307" s="538" t="s">
        <v>501</v>
      </c>
      <c r="F307" s="469">
        <v>1948.78</v>
      </c>
      <c r="G307" s="472">
        <v>2204.0300000000002</v>
      </c>
      <c r="H307" s="472">
        <v>2409.59</v>
      </c>
      <c r="I307" s="472">
        <v>2575.81</v>
      </c>
      <c r="J307" s="472">
        <v>2806.54</v>
      </c>
      <c r="K307" s="473">
        <v>2806.54</v>
      </c>
      <c r="L307" s="472">
        <v>2895.12</v>
      </c>
    </row>
    <row r="308" spans="2:12" s="286" customFormat="1" ht="13.15" x14ac:dyDescent="0.4">
      <c r="C308" s="538" t="s">
        <v>502</v>
      </c>
      <c r="F308" s="469">
        <v>325.72000000000003</v>
      </c>
      <c r="G308" s="474">
        <v>380.98</v>
      </c>
      <c r="H308" s="474">
        <v>562.66999999999996</v>
      </c>
      <c r="I308" s="474">
        <v>860.22</v>
      </c>
      <c r="J308" s="474">
        <v>438.91</v>
      </c>
      <c r="K308" s="473">
        <v>861.38</v>
      </c>
      <c r="L308" s="474">
        <v>610.01</v>
      </c>
    </row>
    <row r="309" spans="2:12" s="286" customFormat="1" ht="13.15" x14ac:dyDescent="0.4">
      <c r="C309" s="538" t="s">
        <v>503</v>
      </c>
      <c r="F309" s="469">
        <v>1171.9000000000001</v>
      </c>
      <c r="G309" s="469">
        <v>1438.53</v>
      </c>
      <c r="H309" s="469">
        <v>1939.27</v>
      </c>
      <c r="I309" s="469">
        <v>2261.4</v>
      </c>
      <c r="J309" s="469">
        <v>1375.34</v>
      </c>
      <c r="K309" s="469">
        <v>2625.69</v>
      </c>
      <c r="L309" s="469">
        <v>1587.12</v>
      </c>
    </row>
    <row r="310" spans="2:12" s="286" customFormat="1" ht="13.5" x14ac:dyDescent="0.4">
      <c r="C310" s="539" t="s">
        <v>504</v>
      </c>
      <c r="F310" s="469"/>
      <c r="G310" s="472"/>
      <c r="H310" s="472"/>
      <c r="I310" s="472"/>
      <c r="J310" s="472"/>
      <c r="K310" s="473"/>
      <c r="L310" s="472"/>
    </row>
    <row r="311" spans="2:12" s="286" customFormat="1" ht="13.5" x14ac:dyDescent="0.4">
      <c r="C311" s="539" t="s">
        <v>505</v>
      </c>
      <c r="F311" s="469">
        <v>-846.18</v>
      </c>
      <c r="G311" s="472">
        <v>-1057.55</v>
      </c>
      <c r="H311" s="472">
        <v>-1376.6</v>
      </c>
      <c r="I311" s="472">
        <v>-1401.18</v>
      </c>
      <c r="J311" s="472">
        <v>-540.42999999999995</v>
      </c>
      <c r="K311" s="473">
        <v>-1764.31</v>
      </c>
      <c r="L311" s="472">
        <v>-977.11</v>
      </c>
    </row>
    <row r="312" spans="2:12" s="286" customFormat="1" ht="13.15" x14ac:dyDescent="0.4">
      <c r="C312" s="538" t="s">
        <v>506</v>
      </c>
      <c r="F312" s="469">
        <v>-9.44</v>
      </c>
      <c r="G312" s="472">
        <v>-20.190000000000001</v>
      </c>
      <c r="H312" s="472">
        <v>-27.79</v>
      </c>
      <c r="I312" s="472">
        <v>-41.56</v>
      </c>
      <c r="J312" s="472">
        <v>-26.48</v>
      </c>
      <c r="K312" s="473">
        <v>-51.35</v>
      </c>
      <c r="L312" s="472">
        <v>-16.32</v>
      </c>
    </row>
    <row r="313" spans="2:12" s="286" customFormat="1" ht="13.15" x14ac:dyDescent="0.4">
      <c r="C313" s="538" t="s">
        <v>507</v>
      </c>
      <c r="F313" s="469"/>
      <c r="G313" s="472"/>
      <c r="H313" s="472"/>
      <c r="I313" s="472">
        <v>4.1399999999999997</v>
      </c>
      <c r="J313" s="472"/>
      <c r="K313" s="473"/>
      <c r="L313" s="472"/>
    </row>
    <row r="314" spans="2:12" s="286" customFormat="1" ht="13.15" x14ac:dyDescent="0.4">
      <c r="C314" s="538" t="s">
        <v>508</v>
      </c>
      <c r="F314" s="467">
        <v>-75.28</v>
      </c>
      <c r="G314" s="472">
        <v>-165</v>
      </c>
      <c r="H314" s="472">
        <v>-383.64</v>
      </c>
      <c r="I314" s="472">
        <v>-602.96</v>
      </c>
      <c r="J314" s="472">
        <v>-421.48</v>
      </c>
      <c r="K314" s="473">
        <v>-741.44</v>
      </c>
      <c r="L314" s="472">
        <v>-333.42</v>
      </c>
    </row>
    <row r="315" spans="2:12" s="286" customFormat="1" ht="13.15" x14ac:dyDescent="0.4">
      <c r="C315" s="538" t="s">
        <v>509</v>
      </c>
      <c r="F315" s="467">
        <v>8.92</v>
      </c>
      <c r="G315" s="469">
        <v>9.77</v>
      </c>
      <c r="H315" s="472">
        <v>14.98</v>
      </c>
      <c r="I315" s="472">
        <v>10.89</v>
      </c>
      <c r="J315" s="472">
        <v>10.07</v>
      </c>
      <c r="K315" s="468">
        <v>19.989999999999998</v>
      </c>
      <c r="L315" s="472">
        <v>9.74</v>
      </c>
    </row>
    <row r="316" spans="2:12" s="286" customFormat="1" ht="13.15" x14ac:dyDescent="0.4">
      <c r="C316" s="538" t="s">
        <v>510</v>
      </c>
      <c r="F316" s="469">
        <v>5.33</v>
      </c>
      <c r="G316" s="472"/>
      <c r="H316" s="472"/>
      <c r="I316" s="472"/>
      <c r="J316" s="472"/>
      <c r="K316" s="473"/>
      <c r="L316" s="472"/>
    </row>
    <row r="317" spans="2:12" s="286" customFormat="1" ht="13.15" x14ac:dyDescent="0.4">
      <c r="C317" s="538" t="s">
        <v>511</v>
      </c>
      <c r="F317" s="476">
        <v>2204.0300000000002</v>
      </c>
      <c r="G317" s="476">
        <v>2409.59</v>
      </c>
      <c r="H317" s="476">
        <v>2575.81</v>
      </c>
      <c r="I317" s="476">
        <v>2806.54</v>
      </c>
      <c r="J317" s="476">
        <v>2807.56</v>
      </c>
      <c r="K317" s="477">
        <v>2895.12</v>
      </c>
      <c r="L317" s="476">
        <v>3165.13</v>
      </c>
    </row>
    <row r="318" spans="2:12" s="286" customFormat="1" ht="13.15" x14ac:dyDescent="0.4">
      <c r="C318" s="538" t="s">
        <v>512</v>
      </c>
      <c r="E318" s="287">
        <v>730.11</v>
      </c>
      <c r="F318" s="478">
        <v>745.75</v>
      </c>
      <c r="G318" s="478">
        <v>936.89</v>
      </c>
      <c r="H318" s="478">
        <v>1244.97</v>
      </c>
      <c r="I318" s="478">
        <v>1795.18</v>
      </c>
      <c r="J318" s="478">
        <v>1963.03</v>
      </c>
      <c r="K318" s="479">
        <v>2118.0100000000002</v>
      </c>
      <c r="L318" s="478">
        <v>2170.7199999999998</v>
      </c>
    </row>
    <row r="319" spans="2:12" s="286" customFormat="1" ht="13.15" x14ac:dyDescent="0.4">
      <c r="C319" s="540" t="s">
        <v>135</v>
      </c>
      <c r="E319" s="287">
        <v>77888.97</v>
      </c>
      <c r="F319" s="480">
        <v>88036.92</v>
      </c>
      <c r="G319" s="480">
        <v>99223.74</v>
      </c>
      <c r="H319" s="480">
        <v>110263.31</v>
      </c>
      <c r="I319" s="480">
        <v>119334.66</v>
      </c>
      <c r="J319" s="480">
        <v>126773.17</v>
      </c>
      <c r="K319" s="481">
        <v>130568.46</v>
      </c>
      <c r="L319" s="480">
        <v>138659.09</v>
      </c>
    </row>
    <row r="320" spans="2:12" s="286" customFormat="1" ht="13.15" x14ac:dyDescent="0.4">
      <c r="C320" s="469"/>
      <c r="F320" s="482"/>
      <c r="G320" s="483"/>
      <c r="H320" s="483"/>
      <c r="I320" s="483"/>
      <c r="J320" s="483"/>
      <c r="K320" s="484"/>
      <c r="L320" s="483"/>
    </row>
    <row r="321" spans="2:12" s="286" customFormat="1" ht="13.5" x14ac:dyDescent="0.4">
      <c r="C321" s="467"/>
      <c r="E321" s="541" t="s">
        <v>513</v>
      </c>
      <c r="F321" s="485">
        <v>2012</v>
      </c>
      <c r="G321" s="485">
        <v>2013</v>
      </c>
      <c r="H321" s="485">
        <v>2014</v>
      </c>
      <c r="I321" s="485">
        <v>2015</v>
      </c>
      <c r="J321" s="485" t="s">
        <v>260</v>
      </c>
      <c r="K321" s="486">
        <v>2016</v>
      </c>
      <c r="L321" s="485" t="s">
        <v>261</v>
      </c>
    </row>
    <row r="322" spans="2:12" s="286" customFormat="1" ht="13.5" x14ac:dyDescent="0.4">
      <c r="C322" s="467"/>
      <c r="E322" s="542" t="s">
        <v>514</v>
      </c>
      <c r="F322" s="482">
        <v>325.72000000000003</v>
      </c>
      <c r="G322" s="482">
        <v>380.98</v>
      </c>
      <c r="H322" s="482">
        <v>562.66999999999996</v>
      </c>
      <c r="I322" s="482">
        <v>860.22</v>
      </c>
      <c r="J322" s="482">
        <v>438.91</v>
      </c>
      <c r="K322" s="487">
        <v>861.38</v>
      </c>
      <c r="L322" s="482">
        <v>610.01</v>
      </c>
    </row>
    <row r="323" spans="2:12" s="286" customFormat="1" ht="13.5" x14ac:dyDescent="0.4">
      <c r="C323" s="467"/>
      <c r="E323" s="542" t="s">
        <v>515</v>
      </c>
      <c r="F323" s="482">
        <v>-75.28</v>
      </c>
      <c r="G323" s="482">
        <v>-165</v>
      </c>
      <c r="H323" s="482">
        <v>-383.64</v>
      </c>
      <c r="I323" s="482">
        <v>-602.96</v>
      </c>
      <c r="J323" s="482">
        <v>-421.48</v>
      </c>
      <c r="K323" s="487">
        <v>-741.44</v>
      </c>
      <c r="L323" s="482">
        <v>-333.42</v>
      </c>
    </row>
    <row r="324" spans="2:12" s="286" customFormat="1" ht="13.5" x14ac:dyDescent="0.4">
      <c r="C324" s="467"/>
      <c r="E324" s="542" t="s">
        <v>509</v>
      </c>
      <c r="F324" s="487">
        <v>8.92</v>
      </c>
      <c r="G324" s="483">
        <v>9.77</v>
      </c>
      <c r="H324" s="483">
        <v>14.98</v>
      </c>
      <c r="I324" s="483">
        <v>10.89</v>
      </c>
      <c r="J324" s="483">
        <v>10.07</v>
      </c>
      <c r="K324" s="484">
        <v>19.989999999999998</v>
      </c>
      <c r="L324" s="483">
        <v>9.74</v>
      </c>
    </row>
    <row r="325" spans="2:12" s="286" customFormat="1" ht="13.5" x14ac:dyDescent="0.4">
      <c r="C325" s="467"/>
      <c r="E325" s="542"/>
      <c r="F325" s="487"/>
      <c r="G325" s="483"/>
      <c r="H325" s="483"/>
      <c r="I325" s="483"/>
      <c r="J325" s="483"/>
      <c r="K325" s="488"/>
      <c r="L325" s="483"/>
    </row>
    <row r="326" spans="2:12" s="286" customFormat="1" ht="13.5" x14ac:dyDescent="0.4">
      <c r="C326" s="467"/>
      <c r="E326" s="542"/>
      <c r="F326" s="487">
        <v>2012</v>
      </c>
      <c r="G326" s="489">
        <v>2013</v>
      </c>
      <c r="H326" s="489">
        <v>2014</v>
      </c>
      <c r="I326" s="489">
        <v>2015</v>
      </c>
      <c r="J326" s="543" t="s">
        <v>260</v>
      </c>
      <c r="K326" s="490">
        <v>2016</v>
      </c>
      <c r="L326" s="543" t="s">
        <v>261</v>
      </c>
    </row>
    <row r="327" spans="2:12" s="286" customFormat="1" ht="13.5" x14ac:dyDescent="0.4">
      <c r="E327" s="542" t="s">
        <v>516</v>
      </c>
      <c r="F327" s="287">
        <v>90.919999999999987</v>
      </c>
      <c r="G327" s="287">
        <v>356.14</v>
      </c>
      <c r="H327" s="287">
        <v>691.72</v>
      </c>
      <c r="I327" s="287">
        <v>1153.17</v>
      </c>
      <c r="J327" s="287">
        <v>589.32999999999993</v>
      </c>
      <c r="K327" s="287">
        <v>1064.2700000000002</v>
      </c>
      <c r="L327" s="287">
        <v>541.1099999999999</v>
      </c>
    </row>
    <row r="328" spans="2:12" s="286" customFormat="1" ht="13.5" x14ac:dyDescent="0.4">
      <c r="E328" s="542" t="s">
        <v>517</v>
      </c>
      <c r="F328" s="289">
        <v>1.1673026360471833E-3</v>
      </c>
      <c r="G328" s="289">
        <v>4.0453482470763401E-3</v>
      </c>
      <c r="H328" s="289">
        <v>6.9713155339639482E-3</v>
      </c>
      <c r="I328" s="289">
        <v>1.0458329248414546E-2</v>
      </c>
      <c r="J328" s="704" t="e">
        <f>NA()</f>
        <v>#N/A</v>
      </c>
      <c r="K328" s="289">
        <v>8.9183645388523341E-3</v>
      </c>
      <c r="L328" s="705" t="e">
        <f>NA()</f>
        <v>#N/A</v>
      </c>
    </row>
    <row r="329" spans="2:12" s="532" customFormat="1" ht="13.5" thickBot="1" x14ac:dyDescent="0.45"/>
    <row r="330" spans="2:12" s="286" customFormat="1" ht="13.9" thickTop="1" x14ac:dyDescent="0.4">
      <c r="B330" s="263" t="s">
        <v>494</v>
      </c>
    </row>
    <row r="331" spans="2:12" s="286" customFormat="1" ht="13.5" thickBot="1" x14ac:dyDescent="0.45"/>
    <row r="332" spans="2:12" s="286" customFormat="1" ht="13.5" thickBot="1" x14ac:dyDescent="0.45">
      <c r="E332" s="545" t="s">
        <v>537</v>
      </c>
      <c r="F332" s="546">
        <v>42916</v>
      </c>
      <c r="G332" s="546">
        <v>42735</v>
      </c>
      <c r="H332" s="547" t="s">
        <v>538</v>
      </c>
      <c r="I332" s="548"/>
      <c r="J332" s="546">
        <v>42916</v>
      </c>
      <c r="K332" s="546">
        <v>42735</v>
      </c>
      <c r="L332" s="547" t="s">
        <v>538</v>
      </c>
    </row>
    <row r="333" spans="2:12" s="286" customFormat="1" ht="13.15" x14ac:dyDescent="0.4">
      <c r="E333" s="549" t="s">
        <v>539</v>
      </c>
      <c r="F333" s="550">
        <v>5035.4399999999996</v>
      </c>
      <c r="G333" s="550">
        <v>4744.75</v>
      </c>
      <c r="H333" s="550">
        <v>290.68999999999966</v>
      </c>
      <c r="I333" s="549" t="s">
        <v>540</v>
      </c>
      <c r="J333" s="550">
        <v>30904.100000000002</v>
      </c>
      <c r="K333" s="550">
        <v>29731.489999999994</v>
      </c>
      <c r="L333" s="550">
        <v>1172.6100000000017</v>
      </c>
    </row>
    <row r="334" spans="2:12" s="286" customFormat="1" ht="13.15" x14ac:dyDescent="0.4">
      <c r="E334" s="551" t="s">
        <v>526</v>
      </c>
      <c r="F334" s="552">
        <v>219.71</v>
      </c>
      <c r="G334" s="552">
        <v>141.88</v>
      </c>
      <c r="H334" s="553">
        <v>77.830000000000013</v>
      </c>
      <c r="I334" s="551" t="s">
        <v>526</v>
      </c>
      <c r="J334" s="552">
        <v>21285.53</v>
      </c>
      <c r="K334" s="554">
        <v>18979.169999999998</v>
      </c>
      <c r="L334" s="553">
        <v>2306.3600000000006</v>
      </c>
    </row>
    <row r="335" spans="2:12" s="286" customFormat="1" ht="13.15" x14ac:dyDescent="0.4">
      <c r="E335" s="551" t="s">
        <v>527</v>
      </c>
      <c r="F335" s="552">
        <v>278.68</v>
      </c>
      <c r="G335" s="552">
        <v>151.24</v>
      </c>
      <c r="H335" s="553">
        <v>127.44</v>
      </c>
      <c r="I335" s="551" t="s">
        <v>527</v>
      </c>
      <c r="J335" s="552">
        <v>8448.6200000000008</v>
      </c>
      <c r="K335" s="554">
        <v>9698.49</v>
      </c>
      <c r="L335" s="553">
        <v>-1249.869999999999</v>
      </c>
    </row>
    <row r="336" spans="2:12" s="286" customFormat="1" ht="13.15" x14ac:dyDescent="0.4">
      <c r="E336" s="551" t="s">
        <v>528</v>
      </c>
      <c r="F336" s="552">
        <v>91.08</v>
      </c>
      <c r="G336" s="552">
        <v>131.5</v>
      </c>
      <c r="H336" s="553">
        <v>-40.42</v>
      </c>
      <c r="I336" s="551" t="s">
        <v>528</v>
      </c>
      <c r="J336" s="552">
        <v>215.79</v>
      </c>
      <c r="K336" s="554">
        <v>222.36</v>
      </c>
      <c r="L336" s="553">
        <v>-6.5700000000000216</v>
      </c>
    </row>
    <row r="337" spans="5:12" s="286" customFormat="1" ht="13.15" x14ac:dyDescent="0.4">
      <c r="E337" s="551" t="s">
        <v>529</v>
      </c>
      <c r="F337" s="552">
        <v>571.31999999999994</v>
      </c>
      <c r="G337" s="552">
        <v>1292.4000000000001</v>
      </c>
      <c r="H337" s="555">
        <v>-721.08000000000015</v>
      </c>
      <c r="I337" s="551" t="s">
        <v>529</v>
      </c>
      <c r="J337" s="552">
        <v>650.57000000000005</v>
      </c>
      <c r="K337" s="554">
        <v>477.92</v>
      </c>
      <c r="L337" s="553">
        <v>172.65000000000003</v>
      </c>
    </row>
    <row r="338" spans="5:12" s="286" customFormat="1" ht="13.15" x14ac:dyDescent="0.4">
      <c r="E338" s="551" t="s">
        <v>530</v>
      </c>
      <c r="F338" s="552">
        <v>700.18000000000006</v>
      </c>
      <c r="G338" s="552">
        <v>524.86</v>
      </c>
      <c r="H338" s="553">
        <v>175.32000000000005</v>
      </c>
      <c r="I338" s="551" t="s">
        <v>530</v>
      </c>
      <c r="J338" s="552">
        <v>303.58999999999997</v>
      </c>
      <c r="K338" s="554">
        <v>353.55</v>
      </c>
      <c r="L338" s="553">
        <v>-49.960000000000036</v>
      </c>
    </row>
    <row r="339" spans="5:12" s="286" customFormat="1" ht="13.15" x14ac:dyDescent="0.4">
      <c r="E339" s="551" t="s">
        <v>531</v>
      </c>
      <c r="F339" s="552">
        <v>68.02</v>
      </c>
      <c r="G339" s="552">
        <v>60.16</v>
      </c>
      <c r="H339" s="553">
        <v>7.8599999999999994</v>
      </c>
      <c r="I339" s="551"/>
      <c r="J339" s="552"/>
      <c r="K339" s="556"/>
      <c r="L339" s="553"/>
    </row>
    <row r="340" spans="5:12" s="286" customFormat="1" ht="13.15" x14ac:dyDescent="0.4">
      <c r="E340" s="551" t="s">
        <v>532</v>
      </c>
      <c r="F340" s="552">
        <v>230</v>
      </c>
      <c r="G340" s="552">
        <v>257.06</v>
      </c>
      <c r="H340" s="553">
        <v>-27.060000000000002</v>
      </c>
      <c r="I340" s="551"/>
      <c r="J340" s="552"/>
      <c r="K340" s="556"/>
      <c r="L340" s="553"/>
    </row>
    <row r="341" spans="5:12" s="286" customFormat="1" ht="13.5" thickBot="1" x14ac:dyDescent="0.45">
      <c r="E341" s="551" t="s">
        <v>533</v>
      </c>
      <c r="F341" s="552">
        <v>2876.45</v>
      </c>
      <c r="G341" s="552">
        <v>2185.65</v>
      </c>
      <c r="H341" s="553">
        <v>690.79999999999973</v>
      </c>
      <c r="I341" s="557"/>
      <c r="J341" s="558"/>
      <c r="K341" s="558"/>
      <c r="L341" s="559"/>
    </row>
    <row r="342" spans="5:12" s="286" customFormat="1" ht="13.15" x14ac:dyDescent="0.4">
      <c r="E342" s="549" t="s">
        <v>541</v>
      </c>
      <c r="F342" s="560">
        <v>16323.290000000005</v>
      </c>
      <c r="G342" s="560">
        <v>17422.87</v>
      </c>
      <c r="H342" s="561">
        <v>-1099.5799999999995</v>
      </c>
      <c r="I342" s="562" t="s">
        <v>542</v>
      </c>
      <c r="J342" s="550">
        <v>3438.2200000000003</v>
      </c>
      <c r="K342" s="550">
        <v>2913.7</v>
      </c>
      <c r="L342" s="561">
        <v>524.52</v>
      </c>
    </row>
    <row r="343" spans="5:12" s="286" customFormat="1" ht="13.15" x14ac:dyDescent="0.4">
      <c r="E343" s="551" t="s">
        <v>526</v>
      </c>
      <c r="F343" s="552">
        <v>5508.59</v>
      </c>
      <c r="G343" s="552">
        <v>5453.82</v>
      </c>
      <c r="H343" s="553">
        <v>54.770000000000437</v>
      </c>
      <c r="I343" s="556" t="s">
        <v>534</v>
      </c>
      <c r="J343" s="552">
        <v>942.49</v>
      </c>
      <c r="K343" s="552">
        <v>942.49</v>
      </c>
      <c r="L343" s="553">
        <v>0</v>
      </c>
    </row>
    <row r="344" spans="5:12" s="286" customFormat="1" ht="13.15" x14ac:dyDescent="0.4">
      <c r="E344" s="551" t="s">
        <v>527</v>
      </c>
      <c r="F344" s="552">
        <v>2883.69</v>
      </c>
      <c r="G344" s="552">
        <v>3344.77</v>
      </c>
      <c r="H344" s="553">
        <v>-461.07999999999993</v>
      </c>
      <c r="I344" s="556" t="s">
        <v>535</v>
      </c>
      <c r="J344" s="552">
        <v>850</v>
      </c>
      <c r="K344" s="552">
        <v>850</v>
      </c>
      <c r="L344" s="553">
        <v>0</v>
      </c>
    </row>
    <row r="345" spans="5:12" s="286" customFormat="1" ht="13.15" x14ac:dyDescent="0.4">
      <c r="E345" s="551" t="s">
        <v>528</v>
      </c>
      <c r="F345" s="552">
        <v>1390.46</v>
      </c>
      <c r="G345" s="552">
        <v>1414.05</v>
      </c>
      <c r="H345" s="553">
        <v>-23.589999999999918</v>
      </c>
      <c r="I345" s="556" t="s">
        <v>536</v>
      </c>
      <c r="J345" s="552">
        <v>1645.73</v>
      </c>
      <c r="K345" s="552">
        <v>1121.21</v>
      </c>
      <c r="L345" s="553">
        <v>524.52</v>
      </c>
    </row>
    <row r="346" spans="5:12" s="286" customFormat="1" ht="13.15" x14ac:dyDescent="0.4">
      <c r="E346" s="551" t="s">
        <v>529</v>
      </c>
      <c r="F346" s="552">
        <v>3314.88</v>
      </c>
      <c r="G346" s="552">
        <v>3699.38</v>
      </c>
      <c r="H346" s="553">
        <v>-384.5</v>
      </c>
      <c r="I346" s="556"/>
      <c r="J346" s="552"/>
      <c r="K346" s="552"/>
      <c r="L346" s="553"/>
    </row>
    <row r="347" spans="5:12" s="286" customFormat="1" ht="13.15" x14ac:dyDescent="0.4">
      <c r="E347" s="551" t="s">
        <v>530</v>
      </c>
      <c r="F347" s="552">
        <v>3035.61</v>
      </c>
      <c r="G347" s="552">
        <v>3294.28</v>
      </c>
      <c r="H347" s="553">
        <v>-258.67000000000007</v>
      </c>
      <c r="I347" s="551"/>
      <c r="J347" s="552"/>
      <c r="K347" s="552"/>
      <c r="L347" s="553"/>
    </row>
    <row r="348" spans="5:12" s="286" customFormat="1" ht="13.15" x14ac:dyDescent="0.4">
      <c r="E348" s="551" t="s">
        <v>531</v>
      </c>
      <c r="F348" s="552">
        <v>146.28</v>
      </c>
      <c r="G348" s="563">
        <v>128.53</v>
      </c>
      <c r="H348" s="553">
        <v>17.75</v>
      </c>
      <c r="I348" s="551"/>
      <c r="J348" s="552"/>
      <c r="K348" s="552"/>
      <c r="L348" s="553"/>
    </row>
    <row r="349" spans="5:12" s="286" customFormat="1" ht="13.15" x14ac:dyDescent="0.4">
      <c r="E349" s="551" t="s">
        <v>532</v>
      </c>
      <c r="F349" s="552">
        <v>43.78</v>
      </c>
      <c r="G349" s="552">
        <v>88.04</v>
      </c>
      <c r="H349" s="553">
        <v>-44.260000000000005</v>
      </c>
      <c r="I349" s="551"/>
      <c r="J349" s="552"/>
      <c r="K349" s="552"/>
      <c r="L349" s="553"/>
    </row>
    <row r="350" spans="5:12" s="286" customFormat="1" ht="13.15" x14ac:dyDescent="0.4">
      <c r="E350" s="551"/>
      <c r="F350" s="552"/>
      <c r="G350" s="552"/>
      <c r="H350" s="553"/>
      <c r="I350" s="556"/>
      <c r="J350" s="556"/>
      <c r="K350" s="556"/>
      <c r="L350" s="553"/>
    </row>
    <row r="351" spans="5:12" s="286" customFormat="1" ht="13.5" thickBot="1" x14ac:dyDescent="0.45">
      <c r="E351" s="557"/>
      <c r="F351" s="564"/>
      <c r="G351" s="564"/>
      <c r="H351" s="559"/>
      <c r="I351" s="558"/>
      <c r="J351" s="558"/>
      <c r="K351" s="558"/>
      <c r="L351" s="559"/>
    </row>
    <row r="352" spans="5:12" s="286" customFormat="1" ht="13.15" x14ac:dyDescent="0.4">
      <c r="E352" s="556"/>
      <c r="F352" s="556"/>
      <c r="G352" s="556"/>
      <c r="H352" s="556"/>
      <c r="I352" s="556"/>
      <c r="J352" s="556"/>
      <c r="K352" s="556"/>
      <c r="L352" s="556"/>
    </row>
    <row r="353" spans="5:12" s="286" customFormat="1" ht="13.5" thickBot="1" x14ac:dyDescent="0.45">
      <c r="E353" s="556"/>
      <c r="F353" s="556"/>
      <c r="G353" s="556"/>
      <c r="H353" s="556"/>
      <c r="I353" s="556"/>
      <c r="J353" s="556"/>
      <c r="K353" s="556"/>
      <c r="L353" s="556"/>
    </row>
    <row r="354" spans="5:12" s="286" customFormat="1" ht="13.15" x14ac:dyDescent="0.4">
      <c r="E354" s="565"/>
      <c r="F354" s="566">
        <v>42916</v>
      </c>
      <c r="G354" s="566">
        <v>42735</v>
      </c>
      <c r="H354" s="567" t="s">
        <v>538</v>
      </c>
      <c r="I354" s="556"/>
      <c r="J354" s="556"/>
      <c r="K354" s="556"/>
      <c r="L354" s="556"/>
    </row>
    <row r="355" spans="5:12" s="286" customFormat="1" ht="13.15" x14ac:dyDescent="0.4">
      <c r="E355" s="551" t="s">
        <v>526</v>
      </c>
      <c r="F355" s="568">
        <v>27013.829999999998</v>
      </c>
      <c r="G355" s="568">
        <v>24574.87</v>
      </c>
      <c r="H355" s="555">
        <v>2438.9599999999991</v>
      </c>
      <c r="I355" s="556"/>
      <c r="J355" s="556"/>
      <c r="K355" s="556"/>
      <c r="L355" s="556"/>
    </row>
    <row r="356" spans="5:12" s="286" customFormat="1" ht="13.15" x14ac:dyDescent="0.4">
      <c r="E356" s="551" t="s">
        <v>535</v>
      </c>
      <c r="F356" s="568">
        <v>850</v>
      </c>
      <c r="G356" s="568">
        <v>850</v>
      </c>
      <c r="H356" s="555">
        <v>0</v>
      </c>
      <c r="I356" s="556"/>
      <c r="J356" s="556"/>
      <c r="K356" s="556"/>
      <c r="L356" s="556"/>
    </row>
    <row r="357" spans="5:12" s="286" customFormat="1" ht="13.15" x14ac:dyDescent="0.4">
      <c r="E357" s="551" t="s">
        <v>543</v>
      </c>
      <c r="F357" s="568">
        <v>11610.990000000002</v>
      </c>
      <c r="G357" s="568">
        <v>13194.5</v>
      </c>
      <c r="H357" s="555">
        <v>-1583.5099999999984</v>
      </c>
      <c r="I357" s="556"/>
      <c r="J357" s="556"/>
      <c r="K357" s="556"/>
      <c r="L357" s="556"/>
    </row>
    <row r="358" spans="5:12" s="286" customFormat="1" ht="13.15" x14ac:dyDescent="0.4">
      <c r="E358" s="551" t="s">
        <v>528</v>
      </c>
      <c r="F358" s="568">
        <v>1697.33</v>
      </c>
      <c r="G358" s="568">
        <v>1767.9099999999999</v>
      </c>
      <c r="H358" s="555">
        <v>-70.579999999999927</v>
      </c>
      <c r="I358" s="556"/>
      <c r="J358" s="556"/>
      <c r="K358" s="556"/>
      <c r="L358" s="556"/>
    </row>
    <row r="359" spans="5:12" s="286" customFormat="1" ht="13.15" x14ac:dyDescent="0.4">
      <c r="E359" s="551" t="s">
        <v>544</v>
      </c>
      <c r="F359" s="568">
        <v>4536.7700000000004</v>
      </c>
      <c r="G359" s="568">
        <v>5469.7000000000007</v>
      </c>
      <c r="H359" s="555">
        <v>-932.93000000000029</v>
      </c>
      <c r="I359" s="556"/>
      <c r="J359" s="556"/>
      <c r="K359" s="556"/>
      <c r="L359" s="556"/>
    </row>
    <row r="360" spans="5:12" s="286" customFormat="1" ht="13.15" x14ac:dyDescent="0.4">
      <c r="E360" s="551" t="s">
        <v>545</v>
      </c>
      <c r="F360" s="568">
        <v>4039.38</v>
      </c>
      <c r="G360" s="568">
        <v>4172.6900000000005</v>
      </c>
      <c r="H360" s="555">
        <v>-133.3100000000004</v>
      </c>
      <c r="I360" s="556"/>
      <c r="J360" s="556"/>
      <c r="K360" s="556"/>
      <c r="L360" s="556"/>
    </row>
    <row r="361" spans="5:12" s="286" customFormat="1" ht="13.15" x14ac:dyDescent="0.4">
      <c r="E361" s="551" t="s">
        <v>531</v>
      </c>
      <c r="F361" s="569">
        <v>214.3</v>
      </c>
      <c r="G361" s="569">
        <v>188.69</v>
      </c>
      <c r="H361" s="555">
        <v>25.610000000000014</v>
      </c>
      <c r="I361" s="556"/>
      <c r="J361" s="556"/>
      <c r="K361" s="556"/>
      <c r="L361" s="556"/>
    </row>
    <row r="362" spans="5:12" s="286" customFormat="1" ht="13.15" x14ac:dyDescent="0.4">
      <c r="E362" s="551" t="s">
        <v>532</v>
      </c>
      <c r="F362" s="568">
        <v>1216.27</v>
      </c>
      <c r="G362" s="568">
        <v>1287.5900000000001</v>
      </c>
      <c r="H362" s="555">
        <v>-71.320000000000164</v>
      </c>
      <c r="I362" s="556"/>
      <c r="J362" s="556"/>
      <c r="K362" s="556"/>
      <c r="L362" s="556"/>
    </row>
    <row r="363" spans="5:12" s="286" customFormat="1" ht="13.15" x14ac:dyDescent="0.4">
      <c r="E363" s="551" t="s">
        <v>533</v>
      </c>
      <c r="F363" s="552">
        <v>4522.18</v>
      </c>
      <c r="G363" s="552">
        <v>3306.86</v>
      </c>
      <c r="H363" s="555">
        <v>1215.3200000000002</v>
      </c>
      <c r="I363" s="556"/>
      <c r="J363" s="556"/>
      <c r="K363" s="556"/>
      <c r="L363" s="556"/>
    </row>
    <row r="364" spans="5:12" s="286" customFormat="1" ht="13.5" thickBot="1" x14ac:dyDescent="0.45">
      <c r="E364" s="557"/>
      <c r="F364" s="564"/>
      <c r="G364" s="564"/>
      <c r="H364" s="570"/>
      <c r="I364" s="571" t="s">
        <v>525</v>
      </c>
      <c r="J364" s="556"/>
      <c r="K364" s="556"/>
      <c r="L364" s="556"/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topLeftCell="D300" workbookViewId="0">
      <selection activeCell="R333" sqref="R333"/>
    </sheetView>
  </sheetViews>
  <sheetFormatPr defaultRowHeight="13.15" x14ac:dyDescent="0.4"/>
  <cols>
    <col min="1" max="1" width="1.46484375" style="286" customWidth="1"/>
    <col min="2" max="2" width="4.46484375" style="286" customWidth="1"/>
    <col min="3" max="3" width="26.73046875" style="286" customWidth="1"/>
    <col min="4" max="4" width="2.46484375" style="286" customWidth="1"/>
    <col min="5" max="9" width="14.33203125" style="286" bestFit="1" customWidth="1"/>
    <col min="10" max="10" width="14.1328125" style="286" customWidth="1"/>
    <col min="11" max="11" width="14.33203125" style="286" bestFit="1" customWidth="1"/>
    <col min="12" max="12" width="9.46484375" style="286" bestFit="1" customWidth="1"/>
    <col min="13" max="219" width="9.06640625" style="286"/>
    <col min="220" max="220" width="0" style="286" hidden="1" customWidth="1"/>
    <col min="221" max="221" width="4.46484375" style="286" customWidth="1"/>
    <col min="222" max="222" width="26.73046875" style="286" customWidth="1"/>
    <col min="223" max="223" width="0.59765625" style="286" customWidth="1"/>
    <col min="224" max="249" width="9.73046875" style="286" customWidth="1"/>
    <col min="250" max="475" width="9.06640625" style="286"/>
    <col min="476" max="476" width="0" style="286" hidden="1" customWidth="1"/>
    <col min="477" max="477" width="4.46484375" style="286" customWidth="1"/>
    <col min="478" max="478" width="26.73046875" style="286" customWidth="1"/>
    <col min="479" max="479" width="0.59765625" style="286" customWidth="1"/>
    <col min="480" max="505" width="9.73046875" style="286" customWidth="1"/>
    <col min="506" max="731" width="9.06640625" style="286"/>
    <col min="732" max="732" width="0" style="286" hidden="1" customWidth="1"/>
    <col min="733" max="733" width="4.46484375" style="286" customWidth="1"/>
    <col min="734" max="734" width="26.73046875" style="286" customWidth="1"/>
    <col min="735" max="735" width="0.59765625" style="286" customWidth="1"/>
    <col min="736" max="761" width="9.73046875" style="286" customWidth="1"/>
    <col min="762" max="987" width="9.06640625" style="286"/>
    <col min="988" max="988" width="0" style="286" hidden="1" customWidth="1"/>
    <col min="989" max="989" width="4.46484375" style="286" customWidth="1"/>
    <col min="990" max="990" width="26.73046875" style="286" customWidth="1"/>
    <col min="991" max="991" width="0.59765625" style="286" customWidth="1"/>
    <col min="992" max="1017" width="9.73046875" style="286" customWidth="1"/>
    <col min="1018" max="1243" width="9.06640625" style="286"/>
    <col min="1244" max="1244" width="0" style="286" hidden="1" customWidth="1"/>
    <col min="1245" max="1245" width="4.46484375" style="286" customWidth="1"/>
    <col min="1246" max="1246" width="26.73046875" style="286" customWidth="1"/>
    <col min="1247" max="1247" width="0.59765625" style="286" customWidth="1"/>
    <col min="1248" max="1273" width="9.73046875" style="286" customWidth="1"/>
    <col min="1274" max="1499" width="9.06640625" style="286"/>
    <col min="1500" max="1500" width="0" style="286" hidden="1" customWidth="1"/>
    <col min="1501" max="1501" width="4.46484375" style="286" customWidth="1"/>
    <col min="1502" max="1502" width="26.73046875" style="286" customWidth="1"/>
    <col min="1503" max="1503" width="0.59765625" style="286" customWidth="1"/>
    <col min="1504" max="1529" width="9.73046875" style="286" customWidth="1"/>
    <col min="1530" max="1755" width="9.06640625" style="286"/>
    <col min="1756" max="1756" width="0" style="286" hidden="1" customWidth="1"/>
    <col min="1757" max="1757" width="4.46484375" style="286" customWidth="1"/>
    <col min="1758" max="1758" width="26.73046875" style="286" customWidth="1"/>
    <col min="1759" max="1759" width="0.59765625" style="286" customWidth="1"/>
    <col min="1760" max="1785" width="9.73046875" style="286" customWidth="1"/>
    <col min="1786" max="2011" width="9.06640625" style="286"/>
    <col min="2012" max="2012" width="0" style="286" hidden="1" customWidth="1"/>
    <col min="2013" max="2013" width="4.46484375" style="286" customWidth="1"/>
    <col min="2014" max="2014" width="26.73046875" style="286" customWidth="1"/>
    <col min="2015" max="2015" width="0.59765625" style="286" customWidth="1"/>
    <col min="2016" max="2041" width="9.73046875" style="286" customWidth="1"/>
    <col min="2042" max="2267" width="9.06640625" style="286"/>
    <col min="2268" max="2268" width="0" style="286" hidden="1" customWidth="1"/>
    <col min="2269" max="2269" width="4.46484375" style="286" customWidth="1"/>
    <col min="2270" max="2270" width="26.73046875" style="286" customWidth="1"/>
    <col min="2271" max="2271" width="0.59765625" style="286" customWidth="1"/>
    <col min="2272" max="2297" width="9.73046875" style="286" customWidth="1"/>
    <col min="2298" max="2523" width="9.06640625" style="286"/>
    <col min="2524" max="2524" width="0" style="286" hidden="1" customWidth="1"/>
    <col min="2525" max="2525" width="4.46484375" style="286" customWidth="1"/>
    <col min="2526" max="2526" width="26.73046875" style="286" customWidth="1"/>
    <col min="2527" max="2527" width="0.59765625" style="286" customWidth="1"/>
    <col min="2528" max="2553" width="9.73046875" style="286" customWidth="1"/>
    <col min="2554" max="2779" width="9.06640625" style="286"/>
    <col min="2780" max="2780" width="0" style="286" hidden="1" customWidth="1"/>
    <col min="2781" max="2781" width="4.46484375" style="286" customWidth="1"/>
    <col min="2782" max="2782" width="26.73046875" style="286" customWidth="1"/>
    <col min="2783" max="2783" width="0.59765625" style="286" customWidth="1"/>
    <col min="2784" max="2809" width="9.73046875" style="286" customWidth="1"/>
    <col min="2810" max="3035" width="9.06640625" style="286"/>
    <col min="3036" max="3036" width="0" style="286" hidden="1" customWidth="1"/>
    <col min="3037" max="3037" width="4.46484375" style="286" customWidth="1"/>
    <col min="3038" max="3038" width="26.73046875" style="286" customWidth="1"/>
    <col min="3039" max="3039" width="0.59765625" style="286" customWidth="1"/>
    <col min="3040" max="3065" width="9.73046875" style="286" customWidth="1"/>
    <col min="3066" max="3291" width="9.06640625" style="286"/>
    <col min="3292" max="3292" width="0" style="286" hidden="1" customWidth="1"/>
    <col min="3293" max="3293" width="4.46484375" style="286" customWidth="1"/>
    <col min="3294" max="3294" width="26.73046875" style="286" customWidth="1"/>
    <col min="3295" max="3295" width="0.59765625" style="286" customWidth="1"/>
    <col min="3296" max="3321" width="9.73046875" style="286" customWidth="1"/>
    <col min="3322" max="3547" width="9.06640625" style="286"/>
    <col min="3548" max="3548" width="0" style="286" hidden="1" customWidth="1"/>
    <col min="3549" max="3549" width="4.46484375" style="286" customWidth="1"/>
    <col min="3550" max="3550" width="26.73046875" style="286" customWidth="1"/>
    <col min="3551" max="3551" width="0.59765625" style="286" customWidth="1"/>
    <col min="3552" max="3577" width="9.73046875" style="286" customWidth="1"/>
    <col min="3578" max="3803" width="9.06640625" style="286"/>
    <col min="3804" max="3804" width="0" style="286" hidden="1" customWidth="1"/>
    <col min="3805" max="3805" width="4.46484375" style="286" customWidth="1"/>
    <col min="3806" max="3806" width="26.73046875" style="286" customWidth="1"/>
    <col min="3807" max="3807" width="0.59765625" style="286" customWidth="1"/>
    <col min="3808" max="3833" width="9.73046875" style="286" customWidth="1"/>
    <col min="3834" max="4059" width="9.06640625" style="286"/>
    <col min="4060" max="4060" width="0" style="286" hidden="1" customWidth="1"/>
    <col min="4061" max="4061" width="4.46484375" style="286" customWidth="1"/>
    <col min="4062" max="4062" width="26.73046875" style="286" customWidth="1"/>
    <col min="4063" max="4063" width="0.59765625" style="286" customWidth="1"/>
    <col min="4064" max="4089" width="9.73046875" style="286" customWidth="1"/>
    <col min="4090" max="4315" width="9.06640625" style="286"/>
    <col min="4316" max="4316" width="0" style="286" hidden="1" customWidth="1"/>
    <col min="4317" max="4317" width="4.46484375" style="286" customWidth="1"/>
    <col min="4318" max="4318" width="26.73046875" style="286" customWidth="1"/>
    <col min="4319" max="4319" width="0.59765625" style="286" customWidth="1"/>
    <col min="4320" max="4345" width="9.73046875" style="286" customWidth="1"/>
    <col min="4346" max="4571" width="9.06640625" style="286"/>
    <col min="4572" max="4572" width="0" style="286" hidden="1" customWidth="1"/>
    <col min="4573" max="4573" width="4.46484375" style="286" customWidth="1"/>
    <col min="4574" max="4574" width="26.73046875" style="286" customWidth="1"/>
    <col min="4575" max="4575" width="0.59765625" style="286" customWidth="1"/>
    <col min="4576" max="4601" width="9.73046875" style="286" customWidth="1"/>
    <col min="4602" max="4827" width="9.06640625" style="286"/>
    <col min="4828" max="4828" width="0" style="286" hidden="1" customWidth="1"/>
    <col min="4829" max="4829" width="4.46484375" style="286" customWidth="1"/>
    <col min="4830" max="4830" width="26.73046875" style="286" customWidth="1"/>
    <col min="4831" max="4831" width="0.59765625" style="286" customWidth="1"/>
    <col min="4832" max="4857" width="9.73046875" style="286" customWidth="1"/>
    <col min="4858" max="5083" width="9.06640625" style="286"/>
    <col min="5084" max="5084" width="0" style="286" hidden="1" customWidth="1"/>
    <col min="5085" max="5085" width="4.46484375" style="286" customWidth="1"/>
    <col min="5086" max="5086" width="26.73046875" style="286" customWidth="1"/>
    <col min="5087" max="5087" width="0.59765625" style="286" customWidth="1"/>
    <col min="5088" max="5113" width="9.73046875" style="286" customWidth="1"/>
    <col min="5114" max="5339" width="9.06640625" style="286"/>
    <col min="5340" max="5340" width="0" style="286" hidden="1" customWidth="1"/>
    <col min="5341" max="5341" width="4.46484375" style="286" customWidth="1"/>
    <col min="5342" max="5342" width="26.73046875" style="286" customWidth="1"/>
    <col min="5343" max="5343" width="0.59765625" style="286" customWidth="1"/>
    <col min="5344" max="5369" width="9.73046875" style="286" customWidth="1"/>
    <col min="5370" max="5595" width="9.06640625" style="286"/>
    <col min="5596" max="5596" width="0" style="286" hidden="1" customWidth="1"/>
    <col min="5597" max="5597" width="4.46484375" style="286" customWidth="1"/>
    <col min="5598" max="5598" width="26.73046875" style="286" customWidth="1"/>
    <col min="5599" max="5599" width="0.59765625" style="286" customWidth="1"/>
    <col min="5600" max="5625" width="9.73046875" style="286" customWidth="1"/>
    <col min="5626" max="5851" width="9.06640625" style="286"/>
    <col min="5852" max="5852" width="0" style="286" hidden="1" customWidth="1"/>
    <col min="5853" max="5853" width="4.46484375" style="286" customWidth="1"/>
    <col min="5854" max="5854" width="26.73046875" style="286" customWidth="1"/>
    <col min="5855" max="5855" width="0.59765625" style="286" customWidth="1"/>
    <col min="5856" max="5881" width="9.73046875" style="286" customWidth="1"/>
    <col min="5882" max="6107" width="9.06640625" style="286"/>
    <col min="6108" max="6108" width="0" style="286" hidden="1" customWidth="1"/>
    <col min="6109" max="6109" width="4.46484375" style="286" customWidth="1"/>
    <col min="6110" max="6110" width="26.73046875" style="286" customWidth="1"/>
    <col min="6111" max="6111" width="0.59765625" style="286" customWidth="1"/>
    <col min="6112" max="6137" width="9.73046875" style="286" customWidth="1"/>
    <col min="6138" max="6363" width="9.06640625" style="286"/>
    <col min="6364" max="6364" width="0" style="286" hidden="1" customWidth="1"/>
    <col min="6365" max="6365" width="4.46484375" style="286" customWidth="1"/>
    <col min="6366" max="6366" width="26.73046875" style="286" customWidth="1"/>
    <col min="6367" max="6367" width="0.59765625" style="286" customWidth="1"/>
    <col min="6368" max="6393" width="9.73046875" style="286" customWidth="1"/>
    <col min="6394" max="6619" width="9.06640625" style="286"/>
    <col min="6620" max="6620" width="0" style="286" hidden="1" customWidth="1"/>
    <col min="6621" max="6621" width="4.46484375" style="286" customWidth="1"/>
    <col min="6622" max="6622" width="26.73046875" style="286" customWidth="1"/>
    <col min="6623" max="6623" width="0.59765625" style="286" customWidth="1"/>
    <col min="6624" max="6649" width="9.73046875" style="286" customWidth="1"/>
    <col min="6650" max="6875" width="9.06640625" style="286"/>
    <col min="6876" max="6876" width="0" style="286" hidden="1" customWidth="1"/>
    <col min="6877" max="6877" width="4.46484375" style="286" customWidth="1"/>
    <col min="6878" max="6878" width="26.73046875" style="286" customWidth="1"/>
    <col min="6879" max="6879" width="0.59765625" style="286" customWidth="1"/>
    <col min="6880" max="6905" width="9.73046875" style="286" customWidth="1"/>
    <col min="6906" max="7131" width="9.06640625" style="286"/>
    <col min="7132" max="7132" width="0" style="286" hidden="1" customWidth="1"/>
    <col min="7133" max="7133" width="4.46484375" style="286" customWidth="1"/>
    <col min="7134" max="7134" width="26.73046875" style="286" customWidth="1"/>
    <col min="7135" max="7135" width="0.59765625" style="286" customWidth="1"/>
    <col min="7136" max="7161" width="9.73046875" style="286" customWidth="1"/>
    <col min="7162" max="7387" width="9.06640625" style="286"/>
    <col min="7388" max="7388" width="0" style="286" hidden="1" customWidth="1"/>
    <col min="7389" max="7389" width="4.46484375" style="286" customWidth="1"/>
    <col min="7390" max="7390" width="26.73046875" style="286" customWidth="1"/>
    <col min="7391" max="7391" width="0.59765625" style="286" customWidth="1"/>
    <col min="7392" max="7417" width="9.73046875" style="286" customWidth="1"/>
    <col min="7418" max="7643" width="9.06640625" style="286"/>
    <col min="7644" max="7644" width="0" style="286" hidden="1" customWidth="1"/>
    <col min="7645" max="7645" width="4.46484375" style="286" customWidth="1"/>
    <col min="7646" max="7646" width="26.73046875" style="286" customWidth="1"/>
    <col min="7647" max="7647" width="0.59765625" style="286" customWidth="1"/>
    <col min="7648" max="7673" width="9.73046875" style="286" customWidth="1"/>
    <col min="7674" max="7899" width="9.06640625" style="286"/>
    <col min="7900" max="7900" width="0" style="286" hidden="1" customWidth="1"/>
    <col min="7901" max="7901" width="4.46484375" style="286" customWidth="1"/>
    <col min="7902" max="7902" width="26.73046875" style="286" customWidth="1"/>
    <col min="7903" max="7903" width="0.59765625" style="286" customWidth="1"/>
    <col min="7904" max="7929" width="9.73046875" style="286" customWidth="1"/>
    <col min="7930" max="8155" width="9.06640625" style="286"/>
    <col min="8156" max="8156" width="0" style="286" hidden="1" customWidth="1"/>
    <col min="8157" max="8157" width="4.46484375" style="286" customWidth="1"/>
    <col min="8158" max="8158" width="26.73046875" style="286" customWidth="1"/>
    <col min="8159" max="8159" width="0.59765625" style="286" customWidth="1"/>
    <col min="8160" max="8185" width="9.73046875" style="286" customWidth="1"/>
    <col min="8186" max="8411" width="9.06640625" style="286"/>
    <col min="8412" max="8412" width="0" style="286" hidden="1" customWidth="1"/>
    <col min="8413" max="8413" width="4.46484375" style="286" customWidth="1"/>
    <col min="8414" max="8414" width="26.73046875" style="286" customWidth="1"/>
    <col min="8415" max="8415" width="0.59765625" style="286" customWidth="1"/>
    <col min="8416" max="8441" width="9.73046875" style="286" customWidth="1"/>
    <col min="8442" max="8667" width="9.06640625" style="286"/>
    <col min="8668" max="8668" width="0" style="286" hidden="1" customWidth="1"/>
    <col min="8669" max="8669" width="4.46484375" style="286" customWidth="1"/>
    <col min="8670" max="8670" width="26.73046875" style="286" customWidth="1"/>
    <col min="8671" max="8671" width="0.59765625" style="286" customWidth="1"/>
    <col min="8672" max="8697" width="9.73046875" style="286" customWidth="1"/>
    <col min="8698" max="8923" width="9.06640625" style="286"/>
    <col min="8924" max="8924" width="0" style="286" hidden="1" customWidth="1"/>
    <col min="8925" max="8925" width="4.46484375" style="286" customWidth="1"/>
    <col min="8926" max="8926" width="26.73046875" style="286" customWidth="1"/>
    <col min="8927" max="8927" width="0.59765625" style="286" customWidth="1"/>
    <col min="8928" max="8953" width="9.73046875" style="286" customWidth="1"/>
    <col min="8954" max="9179" width="9.06640625" style="286"/>
    <col min="9180" max="9180" width="0" style="286" hidden="1" customWidth="1"/>
    <col min="9181" max="9181" width="4.46484375" style="286" customWidth="1"/>
    <col min="9182" max="9182" width="26.73046875" style="286" customWidth="1"/>
    <col min="9183" max="9183" width="0.59765625" style="286" customWidth="1"/>
    <col min="9184" max="9209" width="9.73046875" style="286" customWidth="1"/>
    <col min="9210" max="9435" width="9.06640625" style="286"/>
    <col min="9436" max="9436" width="0" style="286" hidden="1" customWidth="1"/>
    <col min="9437" max="9437" width="4.46484375" style="286" customWidth="1"/>
    <col min="9438" max="9438" width="26.73046875" style="286" customWidth="1"/>
    <col min="9439" max="9439" width="0.59765625" style="286" customWidth="1"/>
    <col min="9440" max="9465" width="9.73046875" style="286" customWidth="1"/>
    <col min="9466" max="9691" width="9.06640625" style="286"/>
    <col min="9692" max="9692" width="0" style="286" hidden="1" customWidth="1"/>
    <col min="9693" max="9693" width="4.46484375" style="286" customWidth="1"/>
    <col min="9694" max="9694" width="26.73046875" style="286" customWidth="1"/>
    <col min="9695" max="9695" width="0.59765625" style="286" customWidth="1"/>
    <col min="9696" max="9721" width="9.73046875" style="286" customWidth="1"/>
    <col min="9722" max="9947" width="9.06640625" style="286"/>
    <col min="9948" max="9948" width="0" style="286" hidden="1" customWidth="1"/>
    <col min="9949" max="9949" width="4.46484375" style="286" customWidth="1"/>
    <col min="9950" max="9950" width="26.73046875" style="286" customWidth="1"/>
    <col min="9951" max="9951" width="0.59765625" style="286" customWidth="1"/>
    <col min="9952" max="9977" width="9.73046875" style="286" customWidth="1"/>
    <col min="9978" max="10203" width="9.06640625" style="286"/>
    <col min="10204" max="10204" width="0" style="286" hidden="1" customWidth="1"/>
    <col min="10205" max="10205" width="4.46484375" style="286" customWidth="1"/>
    <col min="10206" max="10206" width="26.73046875" style="286" customWidth="1"/>
    <col min="10207" max="10207" width="0.59765625" style="286" customWidth="1"/>
    <col min="10208" max="10233" width="9.73046875" style="286" customWidth="1"/>
    <col min="10234" max="10459" width="9.06640625" style="286"/>
    <col min="10460" max="10460" width="0" style="286" hidden="1" customWidth="1"/>
    <col min="10461" max="10461" width="4.46484375" style="286" customWidth="1"/>
    <col min="10462" max="10462" width="26.73046875" style="286" customWidth="1"/>
    <col min="10463" max="10463" width="0.59765625" style="286" customWidth="1"/>
    <col min="10464" max="10489" width="9.73046875" style="286" customWidth="1"/>
    <col min="10490" max="10715" width="9.06640625" style="286"/>
    <col min="10716" max="10716" width="0" style="286" hidden="1" customWidth="1"/>
    <col min="10717" max="10717" width="4.46484375" style="286" customWidth="1"/>
    <col min="10718" max="10718" width="26.73046875" style="286" customWidth="1"/>
    <col min="10719" max="10719" width="0.59765625" style="286" customWidth="1"/>
    <col min="10720" max="10745" width="9.73046875" style="286" customWidth="1"/>
    <col min="10746" max="10971" width="9.06640625" style="286"/>
    <col min="10972" max="10972" width="0" style="286" hidden="1" customWidth="1"/>
    <col min="10973" max="10973" width="4.46484375" style="286" customWidth="1"/>
    <col min="10974" max="10974" width="26.73046875" style="286" customWidth="1"/>
    <col min="10975" max="10975" width="0.59765625" style="286" customWidth="1"/>
    <col min="10976" max="11001" width="9.73046875" style="286" customWidth="1"/>
    <col min="11002" max="11227" width="9.06640625" style="286"/>
    <col min="11228" max="11228" width="0" style="286" hidden="1" customWidth="1"/>
    <col min="11229" max="11229" width="4.46484375" style="286" customWidth="1"/>
    <col min="11230" max="11230" width="26.73046875" style="286" customWidth="1"/>
    <col min="11231" max="11231" width="0.59765625" style="286" customWidth="1"/>
    <col min="11232" max="11257" width="9.73046875" style="286" customWidth="1"/>
    <col min="11258" max="11483" width="9.06640625" style="286"/>
    <col min="11484" max="11484" width="0" style="286" hidden="1" customWidth="1"/>
    <col min="11485" max="11485" width="4.46484375" style="286" customWidth="1"/>
    <col min="11486" max="11486" width="26.73046875" style="286" customWidth="1"/>
    <col min="11487" max="11487" width="0.59765625" style="286" customWidth="1"/>
    <col min="11488" max="11513" width="9.73046875" style="286" customWidth="1"/>
    <col min="11514" max="11739" width="9.06640625" style="286"/>
    <col min="11740" max="11740" width="0" style="286" hidden="1" customWidth="1"/>
    <col min="11741" max="11741" width="4.46484375" style="286" customWidth="1"/>
    <col min="11742" max="11742" width="26.73046875" style="286" customWidth="1"/>
    <col min="11743" max="11743" width="0.59765625" style="286" customWidth="1"/>
    <col min="11744" max="11769" width="9.73046875" style="286" customWidth="1"/>
    <col min="11770" max="11995" width="9.06640625" style="286"/>
    <col min="11996" max="11996" width="0" style="286" hidden="1" customWidth="1"/>
    <col min="11997" max="11997" width="4.46484375" style="286" customWidth="1"/>
    <col min="11998" max="11998" width="26.73046875" style="286" customWidth="1"/>
    <col min="11999" max="11999" width="0.59765625" style="286" customWidth="1"/>
    <col min="12000" max="12025" width="9.73046875" style="286" customWidth="1"/>
    <col min="12026" max="12251" width="9.06640625" style="286"/>
    <col min="12252" max="12252" width="0" style="286" hidden="1" customWidth="1"/>
    <col min="12253" max="12253" width="4.46484375" style="286" customWidth="1"/>
    <col min="12254" max="12254" width="26.73046875" style="286" customWidth="1"/>
    <col min="12255" max="12255" width="0.59765625" style="286" customWidth="1"/>
    <col min="12256" max="12281" width="9.73046875" style="286" customWidth="1"/>
    <col min="12282" max="12507" width="9.06640625" style="286"/>
    <col min="12508" max="12508" width="0" style="286" hidden="1" customWidth="1"/>
    <col min="12509" max="12509" width="4.46484375" style="286" customWidth="1"/>
    <col min="12510" max="12510" width="26.73046875" style="286" customWidth="1"/>
    <col min="12511" max="12511" width="0.59765625" style="286" customWidth="1"/>
    <col min="12512" max="12537" width="9.73046875" style="286" customWidth="1"/>
    <col min="12538" max="12763" width="9.06640625" style="286"/>
    <col min="12764" max="12764" width="0" style="286" hidden="1" customWidth="1"/>
    <col min="12765" max="12765" width="4.46484375" style="286" customWidth="1"/>
    <col min="12766" max="12766" width="26.73046875" style="286" customWidth="1"/>
    <col min="12767" max="12767" width="0.59765625" style="286" customWidth="1"/>
    <col min="12768" max="12793" width="9.73046875" style="286" customWidth="1"/>
    <col min="12794" max="13019" width="9.06640625" style="286"/>
    <col min="13020" max="13020" width="0" style="286" hidden="1" customWidth="1"/>
    <col min="13021" max="13021" width="4.46484375" style="286" customWidth="1"/>
    <col min="13022" max="13022" width="26.73046875" style="286" customWidth="1"/>
    <col min="13023" max="13023" width="0.59765625" style="286" customWidth="1"/>
    <col min="13024" max="13049" width="9.73046875" style="286" customWidth="1"/>
    <col min="13050" max="13275" width="9.06640625" style="286"/>
    <col min="13276" max="13276" width="0" style="286" hidden="1" customWidth="1"/>
    <col min="13277" max="13277" width="4.46484375" style="286" customWidth="1"/>
    <col min="13278" max="13278" width="26.73046875" style="286" customWidth="1"/>
    <col min="13279" max="13279" width="0.59765625" style="286" customWidth="1"/>
    <col min="13280" max="13305" width="9.73046875" style="286" customWidth="1"/>
    <col min="13306" max="13531" width="9.06640625" style="286"/>
    <col min="13532" max="13532" width="0" style="286" hidden="1" customWidth="1"/>
    <col min="13533" max="13533" width="4.46484375" style="286" customWidth="1"/>
    <col min="13534" max="13534" width="26.73046875" style="286" customWidth="1"/>
    <col min="13535" max="13535" width="0.59765625" style="286" customWidth="1"/>
    <col min="13536" max="13561" width="9.73046875" style="286" customWidth="1"/>
    <col min="13562" max="13787" width="9.06640625" style="286"/>
    <col min="13788" max="13788" width="0" style="286" hidden="1" customWidth="1"/>
    <col min="13789" max="13789" width="4.46484375" style="286" customWidth="1"/>
    <col min="13790" max="13790" width="26.73046875" style="286" customWidth="1"/>
    <col min="13791" max="13791" width="0.59765625" style="286" customWidth="1"/>
    <col min="13792" max="13817" width="9.73046875" style="286" customWidth="1"/>
    <col min="13818" max="14043" width="9.06640625" style="286"/>
    <col min="14044" max="14044" width="0" style="286" hidden="1" customWidth="1"/>
    <col min="14045" max="14045" width="4.46484375" style="286" customWidth="1"/>
    <col min="14046" max="14046" width="26.73046875" style="286" customWidth="1"/>
    <col min="14047" max="14047" width="0.59765625" style="286" customWidth="1"/>
    <col min="14048" max="14073" width="9.73046875" style="286" customWidth="1"/>
    <col min="14074" max="14299" width="9.06640625" style="286"/>
    <col min="14300" max="14300" width="0" style="286" hidden="1" customWidth="1"/>
    <col min="14301" max="14301" width="4.46484375" style="286" customWidth="1"/>
    <col min="14302" max="14302" width="26.73046875" style="286" customWidth="1"/>
    <col min="14303" max="14303" width="0.59765625" style="286" customWidth="1"/>
    <col min="14304" max="14329" width="9.73046875" style="286" customWidth="1"/>
    <col min="14330" max="14555" width="9.06640625" style="286"/>
    <col min="14556" max="14556" width="0" style="286" hidden="1" customWidth="1"/>
    <col min="14557" max="14557" width="4.46484375" style="286" customWidth="1"/>
    <col min="14558" max="14558" width="26.73046875" style="286" customWidth="1"/>
    <col min="14559" max="14559" width="0.59765625" style="286" customWidth="1"/>
    <col min="14560" max="14585" width="9.73046875" style="286" customWidth="1"/>
    <col min="14586" max="14811" width="9.06640625" style="286"/>
    <col min="14812" max="14812" width="0" style="286" hidden="1" customWidth="1"/>
    <col min="14813" max="14813" width="4.46484375" style="286" customWidth="1"/>
    <col min="14814" max="14814" width="26.73046875" style="286" customWidth="1"/>
    <col min="14815" max="14815" width="0.59765625" style="286" customWidth="1"/>
    <col min="14816" max="14841" width="9.73046875" style="286" customWidth="1"/>
    <col min="14842" max="15067" width="9.06640625" style="286"/>
    <col min="15068" max="15068" width="0" style="286" hidden="1" customWidth="1"/>
    <col min="15069" max="15069" width="4.46484375" style="286" customWidth="1"/>
    <col min="15070" max="15070" width="26.73046875" style="286" customWidth="1"/>
    <col min="15071" max="15071" width="0.59765625" style="286" customWidth="1"/>
    <col min="15072" max="15097" width="9.73046875" style="286" customWidth="1"/>
    <col min="15098" max="15323" width="9.06640625" style="286"/>
    <col min="15324" max="15324" width="0" style="286" hidden="1" customWidth="1"/>
    <col min="15325" max="15325" width="4.46484375" style="286" customWidth="1"/>
    <col min="15326" max="15326" width="26.73046875" style="286" customWidth="1"/>
    <col min="15327" max="15327" width="0.59765625" style="286" customWidth="1"/>
    <col min="15328" max="15353" width="9.73046875" style="286" customWidth="1"/>
    <col min="15354" max="15579" width="9.06640625" style="286"/>
    <col min="15580" max="15580" width="0" style="286" hidden="1" customWidth="1"/>
    <col min="15581" max="15581" width="4.46484375" style="286" customWidth="1"/>
    <col min="15582" max="15582" width="26.73046875" style="286" customWidth="1"/>
    <col min="15583" max="15583" width="0.59765625" style="286" customWidth="1"/>
    <col min="15584" max="15609" width="9.73046875" style="286" customWidth="1"/>
    <col min="15610" max="15835" width="9.06640625" style="286"/>
    <col min="15836" max="15836" width="0" style="286" hidden="1" customWidth="1"/>
    <col min="15837" max="15837" width="4.46484375" style="286" customWidth="1"/>
    <col min="15838" max="15838" width="26.73046875" style="286" customWidth="1"/>
    <col min="15839" max="15839" width="0.59765625" style="286" customWidth="1"/>
    <col min="15840" max="15865" width="9.73046875" style="286" customWidth="1"/>
    <col min="15866" max="16091" width="9.06640625" style="286"/>
    <col min="16092" max="16092" width="0" style="286" hidden="1" customWidth="1"/>
    <col min="16093" max="16093" width="4.46484375" style="286" customWidth="1"/>
    <col min="16094" max="16094" width="26.73046875" style="286" customWidth="1"/>
    <col min="16095" max="16095" width="0.59765625" style="286" customWidth="1"/>
    <col min="16096" max="16121" width="9.73046875" style="286" customWidth="1"/>
    <col min="16122" max="16384" width="9.06640625" style="286"/>
  </cols>
  <sheetData>
    <row r="1" spans="1:11" s="291" customFormat="1" x14ac:dyDescent="0.35">
      <c r="A1" s="290" t="s">
        <v>269</v>
      </c>
      <c r="C1" s="292" t="s">
        <v>270</v>
      </c>
      <c r="D1" s="292"/>
    </row>
    <row r="2" spans="1:11" s="291" customFormat="1" x14ac:dyDescent="0.35">
      <c r="A2" s="290" t="s">
        <v>271</v>
      </c>
      <c r="C2" s="292" t="s">
        <v>272</v>
      </c>
      <c r="D2" s="292"/>
    </row>
    <row r="3" spans="1:11" s="291" customFormat="1" x14ac:dyDescent="0.35">
      <c r="A3" s="290" t="s">
        <v>273</v>
      </c>
      <c r="C3" s="292" t="s">
        <v>274</v>
      </c>
      <c r="D3" s="292"/>
    </row>
    <row r="4" spans="1:11" s="291" customFormat="1" ht="12.75" hidden="1" x14ac:dyDescent="0.35">
      <c r="B4" s="290"/>
      <c r="C4" s="293"/>
      <c r="D4" s="292"/>
    </row>
    <row r="5" spans="1:11" s="291" customFormat="1" hidden="1" x14ac:dyDescent="0.4">
      <c r="B5" s="290"/>
      <c r="C5" s="294"/>
      <c r="D5" s="292"/>
    </row>
    <row r="6" spans="1:11" s="298" customFormat="1" x14ac:dyDescent="0.4">
      <c r="A6" s="295"/>
      <c r="B6" s="296"/>
      <c r="C6" s="297" t="str">
        <f>[2]!to_tradecode(C1)</f>
        <v>601818</v>
      </c>
      <c r="E6" s="282">
        <v>40908</v>
      </c>
      <c r="F6" s="282">
        <v>41274</v>
      </c>
      <c r="G6" s="282">
        <v>41639</v>
      </c>
      <c r="H6" s="282">
        <v>42004</v>
      </c>
      <c r="I6" s="282">
        <v>42369</v>
      </c>
      <c r="J6" s="282">
        <v>42735</v>
      </c>
      <c r="K6" s="282">
        <v>42825</v>
      </c>
    </row>
    <row r="7" spans="1:11" s="299" customFormat="1" ht="2.25" customHeight="1" x14ac:dyDescent="0.35">
      <c r="B7" s="300"/>
      <c r="C7" s="301"/>
      <c r="E7" s="302"/>
      <c r="F7" s="302"/>
      <c r="G7" s="302"/>
      <c r="H7" s="302"/>
      <c r="I7" s="302"/>
      <c r="J7" s="302"/>
      <c r="K7" s="302"/>
    </row>
    <row r="8" spans="1:11" s="299" customFormat="1" x14ac:dyDescent="0.35">
      <c r="B8" s="303" t="s">
        <v>275</v>
      </c>
      <c r="C8" s="301"/>
      <c r="E8" s="302"/>
      <c r="F8" s="302"/>
      <c r="G8" s="302"/>
      <c r="H8" s="302"/>
      <c r="I8" s="302"/>
      <c r="J8" s="302"/>
      <c r="K8" s="302"/>
    </row>
    <row r="9" spans="1:11" ht="13.9" thickBot="1" x14ac:dyDescent="0.45">
      <c r="C9" s="304" t="s">
        <v>276</v>
      </c>
      <c r="E9" s="305">
        <v>2011</v>
      </c>
      <c r="F9" s="305">
        <v>2012</v>
      </c>
      <c r="G9" s="305">
        <v>2013</v>
      </c>
      <c r="H9" s="305">
        <v>2014</v>
      </c>
      <c r="I9" s="305">
        <v>2015</v>
      </c>
      <c r="J9" s="306">
        <v>2016</v>
      </c>
      <c r="K9" s="307" t="s">
        <v>38</v>
      </c>
    </row>
    <row r="10" spans="1:11" ht="13.5" x14ac:dyDescent="0.4">
      <c r="C10" s="308" t="s">
        <v>277</v>
      </c>
      <c r="E10" s="309">
        <f>[2]!s_stm07_bs($C$6,"W66934046",E6,1,1000000)</f>
        <v>228665.753</v>
      </c>
      <c r="F10" s="309">
        <f>[2]!s_stm07_bs($C$6,"W66934046",F6,1,1000000)</f>
        <v>285478</v>
      </c>
      <c r="G10" s="309">
        <f>[2]!s_stm07_bs($C$6,"W66934046",G6,1,1000000)</f>
        <v>312643</v>
      </c>
      <c r="H10" s="309">
        <f>[2]!s_stm07_bs($C$6,"W66934046",H6,1,1000000)</f>
        <v>354185</v>
      </c>
      <c r="I10" s="309">
        <f>[2]!s_stm07_bs($C$6,"W66934046",I6,1,1000000)</f>
        <v>326735</v>
      </c>
      <c r="J10" s="309">
        <f>[2]!s_stm07_bs($C$6,"W66934046",J6,1,1000000)</f>
        <v>381620</v>
      </c>
      <c r="K10" s="309">
        <f>[2]!s_stm07_bs($C$6,"W66934046",K6,1,1000000)</f>
        <v>360597</v>
      </c>
    </row>
    <row r="11" spans="1:11" ht="13.5" x14ac:dyDescent="0.4">
      <c r="C11" s="310" t="s">
        <v>278</v>
      </c>
      <c r="E11" s="309">
        <f>[2]!s_stm07_bs($C$6,"W49786054",E6,1,1000000)</f>
        <v>105262.951</v>
      </c>
      <c r="F11" s="309">
        <f>[2]!s_stm07_bs($C$6,"W49786054",F6,1,1000000)</f>
        <v>47019</v>
      </c>
      <c r="G11" s="309">
        <f>[2]!s_stm07_bs($C$6,"W49786054",G6,1,1000000)</f>
        <v>67153</v>
      </c>
      <c r="H11" s="309">
        <f>[2]!s_stm07_bs($C$6,"W49786054",H6,1,1000000)</f>
        <v>40316</v>
      </c>
      <c r="I11" s="309">
        <f>[2]!s_stm07_bs($C$6,"W49786054",I6,1,1000000)</f>
        <v>86311</v>
      </c>
      <c r="J11" s="309">
        <f>[2]!s_stm07_bs($C$6,"W49786054",J6,1,1000000)</f>
        <v>232630</v>
      </c>
      <c r="K11" s="309">
        <f>[2]!s_stm07_bs($C$6,"W49786054",K6,1,1000000)</f>
        <v>170216</v>
      </c>
    </row>
    <row r="12" spans="1:11" ht="13.5" x14ac:dyDescent="0.4">
      <c r="C12" s="310" t="s">
        <v>279</v>
      </c>
      <c r="E12" s="309">
        <f>[2]!s_stm07_bs($C$6,"W45840830",E6,1,1000000)</f>
        <v>0</v>
      </c>
      <c r="F12" s="309">
        <f>[2]!s_stm07_bs($C$6,"W45840830",F6,1,1000000)</f>
        <v>0</v>
      </c>
      <c r="G12" s="309">
        <f>[2]!s_stm07_bs($C$6,"W45840830",G6,1,1000000)</f>
        <v>0</v>
      </c>
      <c r="H12" s="309">
        <f>[2]!s_stm07_bs($C$6,"W45840830",H6,1,1000000)</f>
        <v>0</v>
      </c>
      <c r="I12" s="309">
        <f>[2]!s_stm07_bs($C$6,"W45840830",I6,1,1000000)</f>
        <v>0</v>
      </c>
      <c r="J12" s="309">
        <f>[2]!s_stm07_bs($C$6,"W45840830",J6,1,1000000)</f>
        <v>0</v>
      </c>
      <c r="K12" s="309">
        <f>[2]!s_stm07_bs($C$6,"W45840830",K6,1,1000000)</f>
        <v>0</v>
      </c>
    </row>
    <row r="13" spans="1:11" ht="13.5" x14ac:dyDescent="0.4">
      <c r="C13" s="310" t="s">
        <v>280</v>
      </c>
      <c r="E13" s="309">
        <f>[2]!s_stm07_bs($C$6,"W43801822",E6,1,1000000)</f>
        <v>81745.623000000007</v>
      </c>
      <c r="F13" s="309">
        <f>[2]!s_stm07_bs($C$6,"W43801822",F6,1,1000000)</f>
        <v>135979</v>
      </c>
      <c r="G13" s="309">
        <f>[2]!s_stm07_bs($C$6,"W43801822",G6,1,1000000)</f>
        <v>124291</v>
      </c>
      <c r="H13" s="309">
        <f>[2]!s_stm07_bs($C$6,"W43801822",H6,1,1000000)</f>
        <v>132733</v>
      </c>
      <c r="I13" s="309">
        <f>[2]!s_stm07_bs($C$6,"W43801822",I6,1,1000000)</f>
        <v>132361</v>
      </c>
      <c r="J13" s="309">
        <f>[2]!s_stm07_bs($C$6,"W43801822",J6,1,1000000)</f>
        <v>126305</v>
      </c>
      <c r="K13" s="309">
        <f>[2]!s_stm07_bs($C$6,"W43801822",K6,1,1000000)</f>
        <v>157097</v>
      </c>
    </row>
    <row r="14" spans="1:11" ht="13.5" x14ac:dyDescent="0.4">
      <c r="C14" s="310" t="s">
        <v>281</v>
      </c>
      <c r="E14" s="309">
        <f>[2]!s_stm07_bs($C$6,"W43784834",E6,1,1000000)</f>
        <v>22726.633000000002</v>
      </c>
      <c r="F14" s="309">
        <f>[2]!s_stm07_bs($C$6,"W43784834",F6,1,1000000)</f>
        <v>29453</v>
      </c>
      <c r="G14" s="309">
        <f>[2]!s_stm07_bs($C$6,"W43784834",G6,1,1000000)</f>
        <v>12490</v>
      </c>
      <c r="H14" s="309">
        <f>[2]!s_stm07_bs($C$6,"W43784834",H6,1,1000000)</f>
        <v>4377</v>
      </c>
      <c r="I14" s="309">
        <f>[2]!s_stm07_bs($C$6,"W43784834",I6,1,1000000)</f>
        <v>5637</v>
      </c>
      <c r="J14" s="309">
        <f>[2]!s_stm07_bs($C$6,"W43784834",J6,1,1000000)</f>
        <v>7834</v>
      </c>
      <c r="K14" s="309">
        <f>[2]!s_stm07_bs($C$6,"W43784834",K6,1,1000000)</f>
        <v>16968</v>
      </c>
    </row>
    <row r="15" spans="1:11" ht="13.5" x14ac:dyDescent="0.4">
      <c r="C15" s="310" t="s">
        <v>282</v>
      </c>
      <c r="E15" s="309">
        <f>[2]!s_stm07_bs($C$6,"W42630904",E6,1,1000000)</f>
        <v>2261.7930000000001</v>
      </c>
      <c r="F15" s="309">
        <f>[2]!s_stm07_bs($C$6,"W42630904",F6,1,1000000)</f>
        <v>1677</v>
      </c>
      <c r="G15" s="309">
        <f>[2]!s_stm07_bs($C$6,"W42630904",G6,1,1000000)</f>
        <v>1870</v>
      </c>
      <c r="H15" s="309">
        <f>[2]!s_stm07_bs($C$6,"W42630904",H6,1,1000000)</f>
        <v>1082</v>
      </c>
      <c r="I15" s="309">
        <f>[2]!s_stm07_bs($C$6,"W42630904",I6,1,1000000)</f>
        <v>1625</v>
      </c>
      <c r="J15" s="309">
        <f>[2]!s_stm07_bs($C$6,"W42630904",J6,1,1000000)</f>
        <v>4950</v>
      </c>
      <c r="K15" s="309">
        <f>[2]!s_stm07_bs($C$6,"W42630904",K6,1,1000000)</f>
        <v>3090</v>
      </c>
    </row>
    <row r="16" spans="1:11" ht="13.5" x14ac:dyDescent="0.4">
      <c r="C16" s="310" t="s">
        <v>283</v>
      </c>
      <c r="E16" s="309">
        <f>[2]!s_stm07_bs($C$6,"W49720400",E6,1,1000000)</f>
        <v>206940.90599999999</v>
      </c>
      <c r="F16" s="309">
        <f>[2]!s_stm07_bs($C$6,"W49720400",F6,1,1000000)</f>
        <v>230726</v>
      </c>
      <c r="G16" s="309">
        <f>[2]!s_stm07_bs($C$6,"W49720400",G6,1,1000000)</f>
        <v>169182</v>
      </c>
      <c r="H16" s="309">
        <f>[2]!s_stm07_bs($C$6,"W49720400",H6,1,1000000)</f>
        <v>286682</v>
      </c>
      <c r="I16" s="309">
        <f>[2]!s_stm07_bs($C$6,"W49720400",I6,1,1000000)</f>
        <v>153045</v>
      </c>
      <c r="J16" s="309">
        <f>[2]!s_stm07_bs($C$6,"W49720400",J6,1,1000000)</f>
        <v>67000</v>
      </c>
      <c r="K16" s="309">
        <f>[2]!s_stm07_bs($C$6,"W49720400",K6,1,1000000)</f>
        <v>49398</v>
      </c>
    </row>
    <row r="17" spans="3:11" ht="13.5" x14ac:dyDescent="0.4">
      <c r="C17" s="310" t="s">
        <v>284</v>
      </c>
      <c r="E17" s="309">
        <f>[2]!s_stm07_bs($C$6,"W47342125",E6,1,1000000)</f>
        <v>6099.9120000000003</v>
      </c>
      <c r="F17" s="309">
        <f>[2]!s_stm07_bs($C$6,"W47342125",F6,1,1000000)</f>
        <v>10140</v>
      </c>
      <c r="G17" s="309">
        <f>[2]!s_stm07_bs($C$6,"W47342125",G6,1,1000000)</f>
        <v>13074</v>
      </c>
      <c r="H17" s="309">
        <f>[2]!s_stm07_bs($C$6,"W47342125",H6,1,1000000)</f>
        <v>14621</v>
      </c>
      <c r="I17" s="309">
        <f>[2]!s_stm07_bs($C$6,"W47342125",I6,1,1000000)</f>
        <v>18546</v>
      </c>
      <c r="J17" s="309">
        <f>[2]!s_stm07_bs($C$6,"W47342125",J6,1,1000000)</f>
        <v>25339</v>
      </c>
      <c r="K17" s="309">
        <f>[2]!s_stm07_bs($C$6,"W47342125",K6,1,1000000)</f>
        <v>28472</v>
      </c>
    </row>
    <row r="18" spans="3:11" ht="13.5" x14ac:dyDescent="0.4">
      <c r="C18" s="310" t="s">
        <v>285</v>
      </c>
      <c r="E18" s="309">
        <f>[2]!s_stm07_bs($C$6,"W47456352",E6,1,1000000)</f>
        <v>868782.23199999996</v>
      </c>
      <c r="F18" s="309">
        <f>[2]!s_stm07_bs($C$6,"W47456352",F6,1,1000000)</f>
        <v>997331</v>
      </c>
      <c r="G18" s="309">
        <f>[2]!s_stm07_bs($C$6,"W47456352",G6,1,1000000)</f>
        <v>1142138</v>
      </c>
      <c r="H18" s="309">
        <f>[2]!s_stm07_bs($C$6,"W47456352",H6,1,1000000)</f>
        <v>1271430</v>
      </c>
      <c r="I18" s="309">
        <f>[2]!s_stm07_bs($C$6,"W47456352",I6,1,1000000)</f>
        <v>1475424</v>
      </c>
      <c r="J18" s="309">
        <f>[2]!s_stm07_bs($C$6,"W47456352",J6,1,1000000)</f>
        <v>1751644</v>
      </c>
      <c r="K18" s="309">
        <f>[2]!s_stm07_bs($C$6,"W47456352",K6,1,1000000)</f>
        <v>1850311</v>
      </c>
    </row>
    <row r="19" spans="3:11" ht="13.5" x14ac:dyDescent="0.4">
      <c r="C19" s="310" t="s">
        <v>286</v>
      </c>
      <c r="E19" s="309">
        <f>[2]!s_stm07_bs($C$6,"W47556526",E6,1,1000000)</f>
        <v>54402.764999999999</v>
      </c>
      <c r="F19" s="309">
        <f>[2]!s_stm07_bs($C$6,"W47556526",F6,1,1000000)</f>
        <v>91801</v>
      </c>
      <c r="G19" s="309">
        <f>[2]!s_stm07_bs($C$6,"W47556526",G6,1,1000000)</f>
        <v>111849</v>
      </c>
      <c r="H19" s="309">
        <f>[2]!s_stm07_bs($C$6,"W47556526",H6,1,1000000)</f>
        <v>138559</v>
      </c>
      <c r="I19" s="309">
        <f>[2]!s_stm07_bs($C$6,"W47556526",I6,1,1000000)</f>
        <v>222495</v>
      </c>
      <c r="J19" s="309">
        <f>[2]!s_stm07_bs($C$6,"W47556526",J6,1,1000000)</f>
        <v>425131</v>
      </c>
      <c r="K19" s="309">
        <f>[2]!s_stm07_bs($C$6,"W47556526",K6,1,1000000)</f>
        <v>441639</v>
      </c>
    </row>
    <row r="20" spans="3:11" ht="13.5" x14ac:dyDescent="0.4">
      <c r="C20" s="310" t="s">
        <v>287</v>
      </c>
      <c r="E20" s="309">
        <f>[2]!s_stm07_bs($C$6,"W40712817",E6,1,1000000)</f>
        <v>83984.501000000004</v>
      </c>
      <c r="F20" s="309">
        <f>[2]!s_stm07_bs($C$6,"W40712817",F6,1,1000000)</f>
        <v>95824</v>
      </c>
      <c r="G20" s="309">
        <f>[2]!s_stm07_bs($C$6,"W40712817",G6,1,1000000)</f>
        <v>105920</v>
      </c>
      <c r="H20" s="309">
        <f>[2]!s_stm07_bs($C$6,"W40712817",H6,1,1000000)</f>
        <v>111697</v>
      </c>
      <c r="I20" s="309">
        <f>[2]!s_stm07_bs($C$6,"W40712817",I6,1,1000000)</f>
        <v>152312</v>
      </c>
      <c r="J20" s="309">
        <f>[2]!s_stm07_bs($C$6,"W40712817",J6,1,1000000)</f>
        <v>257500</v>
      </c>
      <c r="K20" s="309">
        <f>[2]!s_stm07_bs($C$6,"W40712817",K6,1,1000000)</f>
        <v>287312</v>
      </c>
    </row>
    <row r="21" spans="3:11" ht="13.5" x14ac:dyDescent="0.4">
      <c r="C21" s="310" t="s">
        <v>288</v>
      </c>
      <c r="E21" s="309">
        <f>[2]!s_stm07_bs($C$6,"155",E6,1,1000000)</f>
        <v>0</v>
      </c>
      <c r="F21" s="309">
        <f>[2]!s_stm07_bs($C$6,"155",F6,1,1000000)</f>
        <v>261207</v>
      </c>
      <c r="G21" s="309">
        <f>[2]!s_stm07_bs($C$6,"155",G6,1,1000000)</f>
        <v>262699</v>
      </c>
      <c r="H21" s="309">
        <f>[2]!s_stm07_bs($C$6,"155",H6,1,1000000)</f>
        <v>333911</v>
      </c>
      <c r="I21" s="309">
        <f>[2]!s_stm07_bs($C$6,"155",I6,1,1000000)</f>
        <v>523427</v>
      </c>
      <c r="J21" s="309">
        <f>[2]!s_stm07_bs($C$6,"155",J6,1,1000000)</f>
        <v>627678</v>
      </c>
      <c r="K21" s="309">
        <f>[2]!s_stm07_bs($C$6,"155",K6,1,1000000)</f>
        <v>641625</v>
      </c>
    </row>
    <row r="22" spans="3:11" ht="13.5" x14ac:dyDescent="0.4">
      <c r="C22" s="310" t="s">
        <v>289</v>
      </c>
      <c r="E22" s="309"/>
      <c r="F22" s="309"/>
      <c r="G22" s="309"/>
      <c r="H22" s="309"/>
      <c r="I22" s="309"/>
      <c r="J22" s="309">
        <v>55560</v>
      </c>
      <c r="K22" s="309">
        <v>56788</v>
      </c>
    </row>
    <row r="23" spans="3:11" ht="13.5" x14ac:dyDescent="0.4">
      <c r="C23" s="310" t="s">
        <v>290</v>
      </c>
      <c r="E23" s="309">
        <f>[2]!s_stm07_bs($C$6,"W43362178",E6,1,1000000)</f>
        <v>99.125</v>
      </c>
      <c r="F23" s="309">
        <f>[2]!s_stm07_bs($C$6,"W43362178",F6,1,1000000)</f>
        <v>99</v>
      </c>
      <c r="G23" s="309">
        <f>[2]!s_stm07_bs($C$6,"W43362178",G6,1,1000000)</f>
        <v>99</v>
      </c>
      <c r="H23" s="309">
        <f>[2]!s_stm07_bs($C$6,"W43362178",H6,1,1000000)</f>
        <v>0</v>
      </c>
      <c r="I23" s="309">
        <f>[2]!s_stm07_bs($C$6,"W43362178",I6,1,1000000)</f>
        <v>0</v>
      </c>
      <c r="J23" s="309">
        <f>[2]!s_stm07_bs($C$6,"W43362178",J6,1,1000000)</f>
        <v>0</v>
      </c>
      <c r="K23" s="309">
        <f>[2]!s_stm07_bs($C$6,"W43362178",K6,1,1000000)</f>
        <v>0</v>
      </c>
    </row>
    <row r="24" spans="3:11" ht="13.5" x14ac:dyDescent="0.4">
      <c r="C24" s="310" t="s">
        <v>291</v>
      </c>
      <c r="E24" s="309">
        <f>[2]!s_stm07_bs($C$6,"W44672706",E6,1,1000000)</f>
        <v>10810.272999999999</v>
      </c>
      <c r="F24" s="309">
        <f>[2]!s_stm07_bs($C$6,"W44672706",F6,1,1000000)</f>
        <v>11869</v>
      </c>
      <c r="G24" s="309">
        <f>[2]!s_stm07_bs($C$6,"W44672706",G6,1,1000000)</f>
        <v>12629</v>
      </c>
      <c r="H24" s="309">
        <f>[2]!s_stm07_bs($C$6,"W44672706",H6,1,1000000)</f>
        <v>13043</v>
      </c>
      <c r="I24" s="309">
        <f>[2]!s_stm07_bs($C$6,"W44672706",I6,1,1000000)</f>
        <v>12646</v>
      </c>
      <c r="J24" s="309">
        <f>[2]!s_stm07_bs($C$6,"W44672706",J6,1,1000000)</f>
        <v>14228</v>
      </c>
      <c r="K24" s="309">
        <f>[2]!s_stm07_bs($C$6,"W44672706",K6,1,1000000)</f>
        <v>14145</v>
      </c>
    </row>
    <row r="25" spans="3:11" ht="13.5" x14ac:dyDescent="0.4">
      <c r="C25" s="286" t="s">
        <v>292</v>
      </c>
      <c r="E25" s="309">
        <f>[2]!s_stm07_bs($C$6,"W14444311",E6,1,1000000)</f>
        <v>0</v>
      </c>
      <c r="F25" s="309">
        <f>[2]!s_stm07_bs($C$6,"W14444311",F6,1,1000000)</f>
        <v>0</v>
      </c>
      <c r="G25" s="309">
        <f>[2]!s_stm07_bs($C$6,"W14444311",G6,1,1000000)</f>
        <v>0</v>
      </c>
      <c r="H25" s="309">
        <f>[2]!s_stm07_bs($C$6,"W14444311",H6,1,1000000)</f>
        <v>0</v>
      </c>
      <c r="I25" s="309">
        <f>[2]!s_stm07_bs($C$6,"W14444311",I6,1,1000000)</f>
        <v>0</v>
      </c>
      <c r="J25" s="309">
        <f>[2]!s_stm07_bs($C$6,"W14444311",J6,1,1000000)</f>
        <v>0</v>
      </c>
      <c r="K25" s="309">
        <f>[2]!s_stm07_bs($C$6,"W14444311",K6,1,1000000)</f>
        <v>0</v>
      </c>
    </row>
    <row r="26" spans="3:11" ht="13.5" x14ac:dyDescent="0.4">
      <c r="C26" s="286" t="s">
        <v>293</v>
      </c>
      <c r="E26" s="309">
        <f>[2]!s_stm07_bs($C$6,"W45280150",E6,1,1000000)</f>
        <v>530.13099999999997</v>
      </c>
      <c r="F26" s="309">
        <f>[2]!s_stm07_bs($C$6,"W45280150",F6,1,1000000)</f>
        <v>660</v>
      </c>
      <c r="G26" s="309">
        <f>[2]!s_stm07_bs($C$6,"W45280150",G6,1,1000000)</f>
        <v>763</v>
      </c>
      <c r="H26" s="309">
        <f>[2]!s_stm07_bs($C$6,"W45280150",H6,1,1000000)</f>
        <v>922</v>
      </c>
      <c r="I26" s="309">
        <f>[2]!s_stm07_bs($C$6,"W45280150",I6,1,1000000)</f>
        <v>946</v>
      </c>
      <c r="J26" s="309">
        <f>[2]!s_stm07_bs($C$6,"W45280150",J6,1,1000000)</f>
        <v>950</v>
      </c>
      <c r="K26" s="309">
        <f>[2]!s_stm07_bs($C$6,"W45280150",K6,1,1000000)</f>
        <v>916</v>
      </c>
    </row>
    <row r="27" spans="3:11" ht="13.5" x14ac:dyDescent="0.4">
      <c r="C27" s="286" t="s">
        <v>294</v>
      </c>
      <c r="E27" s="309">
        <f>[2]!s_stm07_bs_39($C$6,E6,1,1000000)</f>
        <v>1281</v>
      </c>
      <c r="F27" s="309">
        <f>[2]!s_stm07_bs_39($C$6,F6,1,1000000)</f>
        <v>1281</v>
      </c>
      <c r="G27" s="309">
        <f>[2]!s_stm07_bs_39($C$6,G6,1,1000000)</f>
        <v>1281</v>
      </c>
      <c r="H27" s="309">
        <f>[2]!s_stm07_bs_39($C$6,H6,1,1000000)</f>
        <v>1281</v>
      </c>
      <c r="I27" s="309">
        <f>[2]!s_stm07_bs_39($C$6,I6,1,1000000)</f>
        <v>1281</v>
      </c>
      <c r="J27" s="309">
        <f>[2]!s_stm07_bs_39($C$6,J6,1,1000000)</f>
        <v>1281</v>
      </c>
      <c r="K27" s="309">
        <f>[2]!s_stm07_bs_39($C$6,K6,1,1000000)</f>
        <v>1281</v>
      </c>
    </row>
    <row r="28" spans="3:11" ht="13.5" x14ac:dyDescent="0.4">
      <c r="C28" s="286" t="s">
        <v>295</v>
      </c>
      <c r="E28" s="309">
        <f>[2]!s_stm07_bs($C$6,"W41861522",E6,1,1000000)</f>
        <v>1856.7080000000001</v>
      </c>
      <c r="F28" s="309">
        <f>[2]!s_stm07_bs($C$6,"W41861522",F6,1,1000000)</f>
        <v>2454</v>
      </c>
      <c r="G28" s="309">
        <f>[2]!s_stm07_bs($C$6,"W41861522",G6,1,1000000)</f>
        <v>4015</v>
      </c>
      <c r="H28" s="309">
        <f>[2]!s_stm07_bs($C$6,"W41861522",H6,1,1000000)</f>
        <v>3034</v>
      </c>
      <c r="I28" s="309">
        <f>[2]!s_stm07_bs($C$6,"W41861522",I6,1,1000000)</f>
        <v>3923</v>
      </c>
      <c r="J28" s="309">
        <f>[2]!s_stm07_bs($C$6,"W41861522",J6,1,1000000)</f>
        <v>5622</v>
      </c>
      <c r="K28" s="309">
        <f>[2]!s_stm07_bs($C$6,"W41861522",K6,1,1000000)</f>
        <v>6298</v>
      </c>
    </row>
    <row r="29" spans="3:11" ht="13.5" x14ac:dyDescent="0.4">
      <c r="C29" s="286" t="s">
        <v>296</v>
      </c>
      <c r="E29" s="311">
        <f t="shared" ref="E29:J29" si="0">E30-SUM(E10:E28)</f>
        <v>57895.300999999978</v>
      </c>
      <c r="F29" s="311">
        <f t="shared" si="0"/>
        <v>76297</v>
      </c>
      <c r="G29" s="311">
        <f t="shared" si="0"/>
        <v>72990</v>
      </c>
      <c r="H29" s="311">
        <f t="shared" si="0"/>
        <v>29137</v>
      </c>
      <c r="I29" s="311">
        <f t="shared" si="0"/>
        <v>50996</v>
      </c>
      <c r="J29" s="311">
        <f t="shared" si="0"/>
        <v>34770</v>
      </c>
      <c r="K29" s="311">
        <f>K30-SUM(K10:K28)</f>
        <v>40827</v>
      </c>
    </row>
    <row r="30" spans="3:11" ht="13.9" thickBot="1" x14ac:dyDescent="0.45">
      <c r="C30" s="312" t="s">
        <v>297</v>
      </c>
      <c r="E30" s="313">
        <f>[2]!s_stm07_bs($C$6,"W45407132",E6,1,1000000)</f>
        <v>1733345.6070000001</v>
      </c>
      <c r="F30" s="313">
        <f>[2]!s_stm07_bs($C$6,"W45407132",F6,1,1000000)</f>
        <v>2279295</v>
      </c>
      <c r="G30" s="313">
        <f>[2]!s_stm07_bs($C$6,"W45407132",G6,1,1000000)</f>
        <v>2415086</v>
      </c>
      <c r="H30" s="313">
        <f>[2]!s_stm07_bs($C$6,"W45407132",H6,1,1000000)</f>
        <v>2737010</v>
      </c>
      <c r="I30" s="313">
        <f>[2]!s_stm07_bs($C$6,"W45407132",I6,1,1000000)</f>
        <v>3167710</v>
      </c>
      <c r="J30" s="313">
        <f>[2]!s_stm07_bs($C$6,"W45407132",J6,1,1000000)</f>
        <v>4020042</v>
      </c>
      <c r="K30" s="313">
        <f>[2]!s_stm07_bs($C$6,"W45407132",K6,1,1000000)</f>
        <v>4126980</v>
      </c>
    </row>
    <row r="31" spans="3:11" x14ac:dyDescent="0.4">
      <c r="E31" s="314">
        <f>[2]!s_stm07_bs($C$6,"W94536297",E6,1,1000000)-E29</f>
        <v>0</v>
      </c>
      <c r="F31" s="314">
        <f>[2]!s_stm07_bs($C$6,"W94536297",F6,1,1000000)-F29</f>
        <v>0</v>
      </c>
      <c r="G31" s="314">
        <f>[2]!s_stm07_bs($C$6,"W94536297",G6,1,1000000)-G29</f>
        <v>0</v>
      </c>
      <c r="H31" s="314">
        <f>[2]!s_stm07_bs($C$6,"W94536297",H6,1,1000000)-H29</f>
        <v>0</v>
      </c>
      <c r="I31" s="314">
        <f>[2]!s_stm07_bs($C$6,"W94536297",I6,1,1000000)-I29</f>
        <v>0</v>
      </c>
      <c r="J31" s="314">
        <f>[2]!s_stm07_bs($C$6,"W94536297",J6,1,1000000)-J29</f>
        <v>0</v>
      </c>
      <c r="K31" s="314">
        <f>[2]!s_stm07_bs($C$6,"W94536297",K6,1,1000000)-K29</f>
        <v>0</v>
      </c>
    </row>
    <row r="32" spans="3:11" ht="13.9" thickBot="1" x14ac:dyDescent="0.45">
      <c r="C32" s="315" t="s">
        <v>298</v>
      </c>
      <c r="G32" s="316"/>
      <c r="H32" s="316"/>
      <c r="I32" s="317"/>
      <c r="J32" s="317"/>
      <c r="K32" s="317"/>
    </row>
    <row r="33" spans="3:11" ht="13.5" x14ac:dyDescent="0.4">
      <c r="C33" s="308" t="s">
        <v>299</v>
      </c>
      <c r="E33" s="318">
        <f>[2]!s_stm07_bs($C$6,"W41637162",E6,1,1000000)</f>
        <v>0</v>
      </c>
      <c r="F33" s="318">
        <f>[2]!s_stm07_bs($C$6,"W41637162",F6,1,1000000)</f>
        <v>0</v>
      </c>
      <c r="G33" s="318">
        <f>[2]!s_stm07_bs($C$6,"W41637162",G6,1,1000000)</f>
        <v>0</v>
      </c>
      <c r="H33" s="318">
        <f>[2]!s_stm07_bs($C$6,"W41637162",H6,1,1000000)</f>
        <v>30040</v>
      </c>
      <c r="I33" s="318">
        <f>[2]!s_stm07_bs($C$6,"W41637162",I6,1,1000000)</f>
        <v>14840</v>
      </c>
      <c r="J33" s="318">
        <f>[2]!s_stm07_bs($C$6,"W41637162",J6,1,1000000)</f>
        <v>187000</v>
      </c>
      <c r="K33" s="318">
        <f>[2]!s_stm07_bs($C$6,"W41637162",K6,1,1000000)</f>
        <v>211500</v>
      </c>
    </row>
    <row r="34" spans="3:11" ht="13.5" x14ac:dyDescent="0.4">
      <c r="C34" s="310" t="s">
        <v>300</v>
      </c>
      <c r="E34" s="309">
        <f>[2]!s_stm07_bs($C$6,"W49756518",E6,1,1000000)</f>
        <v>270627.08199999999</v>
      </c>
      <c r="F34" s="309">
        <f>[2]!s_stm07_bs($C$6,"W49756518",F6,1,1000000)</f>
        <v>527561</v>
      </c>
      <c r="G34" s="309">
        <f>[2]!s_stm07_bs($C$6,"W49756518",G6,1,1000000)</f>
        <v>438604</v>
      </c>
      <c r="H34" s="309">
        <f>[2]!s_stm07_bs($C$6,"W49756518",H6,1,1000000)</f>
        <v>507187</v>
      </c>
      <c r="I34" s="309">
        <f>[2]!s_stm07_bs($C$6,"W49756518",I6,1,1000000)</f>
        <v>541066</v>
      </c>
      <c r="J34" s="309">
        <f>[2]!s_stm07_bs($C$6,"W49756518",J6,1,1000000)</f>
        <v>830354</v>
      </c>
      <c r="K34" s="309">
        <f>[2]!s_stm07_bs($C$6,"W49756518",K6,1,1000000)</f>
        <v>581096</v>
      </c>
    </row>
    <row r="35" spans="3:11" ht="13.5" x14ac:dyDescent="0.4">
      <c r="C35" s="310" t="s">
        <v>301</v>
      </c>
      <c r="E35" s="309">
        <f>[2]!s_stm07_bs($C$6,"W45694480",E6,1,1000000)</f>
        <v>27361.978999999999</v>
      </c>
      <c r="F35" s="309">
        <f>[2]!s_stm07_bs($C$6,"W45694480",F6,1,1000000)</f>
        <v>23205</v>
      </c>
      <c r="G35" s="309">
        <f>[2]!s_stm07_bs($C$6,"W45694480",G6,1,1000000)</f>
        <v>50817</v>
      </c>
      <c r="H35" s="309">
        <f>[2]!s_stm07_bs($C$6,"W45694480",H6,1,1000000)</f>
        <v>36744</v>
      </c>
      <c r="I35" s="309">
        <f>[2]!s_stm07_bs($C$6,"W45694480",I6,1,1000000)</f>
        <v>60305</v>
      </c>
      <c r="J35" s="309">
        <f>[2]!s_stm07_bs($C$6,"W45694480",J6,1,1000000)</f>
        <v>95501</v>
      </c>
      <c r="K35" s="309">
        <f>[2]!s_stm07_bs($C$6,"W45694480",K6,1,1000000)</f>
        <v>107193</v>
      </c>
    </row>
    <row r="36" spans="3:11" ht="13.5" x14ac:dyDescent="0.4">
      <c r="C36" s="310" t="s">
        <v>302</v>
      </c>
      <c r="E36" s="309">
        <f>[2]!s_stm07_bs($C$6,"W49459692",E6,1,1000000)</f>
        <v>46477.970999999998</v>
      </c>
      <c r="F36" s="309">
        <f>[2]!s_stm07_bs($C$6,"W49459692",F6,1,1000000)</f>
        <v>0</v>
      </c>
      <c r="G36" s="309">
        <f>[2]!s_stm07_bs($C$6,"W49459692",G6,1,1000000)</f>
        <v>0</v>
      </c>
      <c r="H36" s="309">
        <f>[2]!s_stm07_bs($C$6,"W49459692",H6,1,1000000)</f>
        <v>0</v>
      </c>
      <c r="I36" s="309">
        <f>[2]!s_stm07_bs($C$6,"W49459692",I6,1,1000000)</f>
        <v>0</v>
      </c>
      <c r="J36" s="309">
        <f>[2]!s_stm07_bs($C$6,"W49459692",J6,1,1000000)</f>
        <v>0</v>
      </c>
      <c r="K36" s="309">
        <f>[2]!s_stm07_bs($C$6,"W49459692",K6,1,1000000)</f>
        <v>0</v>
      </c>
    </row>
    <row r="37" spans="3:11" ht="13.5" x14ac:dyDescent="0.4">
      <c r="C37" s="310" t="s">
        <v>303</v>
      </c>
      <c r="E37" s="309">
        <f>[2]!s_stm07_bs($C$6,"W43138898",E6,1,1000000)</f>
        <v>3062.4870000000001</v>
      </c>
      <c r="F37" s="309">
        <f>[2]!s_stm07_bs($C$6,"W43138898",F6,1,1000000)</f>
        <v>1861</v>
      </c>
      <c r="G37" s="309">
        <f>[2]!s_stm07_bs($C$6,"W43138898",G6,1,1000000)</f>
        <v>2465</v>
      </c>
      <c r="H37" s="309">
        <f>[2]!s_stm07_bs($C$6,"W43138898",H6,1,1000000)</f>
        <v>781</v>
      </c>
      <c r="I37" s="309">
        <f>[2]!s_stm07_bs($C$6,"W43138898",I6,1,1000000)</f>
        <v>1391</v>
      </c>
      <c r="J37" s="309">
        <f>[2]!s_stm07_bs($C$6,"W43138898",J6,1,1000000)</f>
        <v>4368</v>
      </c>
      <c r="K37" s="309">
        <f>[2]!s_stm07_bs($C$6,"W43138898",K6,1,1000000)</f>
        <v>2789</v>
      </c>
    </row>
    <row r="38" spans="3:11" ht="13.5" x14ac:dyDescent="0.4">
      <c r="C38" s="310" t="s">
        <v>304</v>
      </c>
      <c r="E38" s="309">
        <f>[2]!s_stm07_bs($C$6,"W47648264",E6,1,1000000)</f>
        <v>40608.968999999997</v>
      </c>
      <c r="F38" s="309">
        <f>[2]!s_stm07_bs($C$6,"W47648264",F6,1,1000000)</f>
        <v>74285</v>
      </c>
      <c r="G38" s="309">
        <f>[2]!s_stm07_bs($C$6,"W47648264",G6,1,1000000)</f>
        <v>63164</v>
      </c>
      <c r="H38" s="309">
        <f>[2]!s_stm07_bs($C$6,"W47648264",H6,1,1000000)</f>
        <v>51772</v>
      </c>
      <c r="I38" s="309">
        <f>[2]!s_stm07_bs($C$6,"W47648264",I6,1,1000000)</f>
        <v>58873</v>
      </c>
      <c r="J38" s="309">
        <f>[2]!s_stm07_bs($C$6,"W47648264",J6,1,1000000)</f>
        <v>41195</v>
      </c>
      <c r="K38" s="309">
        <f>[2]!s_stm07_bs($C$6,"W47648264",K6,1,1000000)</f>
        <v>28938</v>
      </c>
    </row>
    <row r="39" spans="3:11" ht="13.5" x14ac:dyDescent="0.4">
      <c r="C39" s="319" t="s">
        <v>305</v>
      </c>
      <c r="E39" s="320"/>
      <c r="F39" s="320"/>
      <c r="G39" s="320"/>
      <c r="H39" s="320"/>
      <c r="I39" s="320"/>
      <c r="J39" s="320"/>
      <c r="K39" s="320"/>
    </row>
    <row r="40" spans="3:11" ht="13.5" x14ac:dyDescent="0.4">
      <c r="C40" s="310" t="s">
        <v>306</v>
      </c>
      <c r="E40" s="309">
        <f>[2]!s_stm07_bs($C$6,"W47888059",E6,1,1000000)</f>
        <v>1178800.3289999999</v>
      </c>
      <c r="F40" s="309">
        <f>[2]!s_stm07_bs($C$6,"W47888059",F6,1,1000000)</f>
        <v>1426941</v>
      </c>
      <c r="G40" s="309">
        <f>[2]!s_stm07_bs($C$6,"W47888059",G6,1,1000000)</f>
        <v>1605278</v>
      </c>
      <c r="H40" s="309">
        <f>[2]!s_stm07_bs($C$6,"W47888059",H6,1,1000000)</f>
        <v>1785337</v>
      </c>
      <c r="I40" s="309">
        <f>[2]!s_stm07_bs($C$6,"W47888059",I6,1,1000000)</f>
        <v>1993843</v>
      </c>
      <c r="J40" s="309">
        <f>[2]!s_stm07_bs($C$6,"W47888059",J6,1,1000000)</f>
        <v>2120887</v>
      </c>
      <c r="K40" s="309">
        <f>[2]!s_stm07_bs($C$6,"W47888059",K6,1,1000000)</f>
        <v>2243298</v>
      </c>
    </row>
    <row r="41" spans="3:11" ht="13.5" x14ac:dyDescent="0.4">
      <c r="C41" s="310" t="s">
        <v>307</v>
      </c>
      <c r="E41" s="309">
        <f>[2]!s_stm07_bs($C$6,"W40315239",E6,1,1000000)</f>
        <v>6256.8280000000004</v>
      </c>
      <c r="F41" s="309">
        <f>[2]!s_stm07_bs($C$6,"W40315239",F6,1,1000000)</f>
        <v>7405</v>
      </c>
      <c r="G41" s="309">
        <f>[2]!s_stm07_bs($C$6,"W40315239",G6,1,1000000)</f>
        <v>8149</v>
      </c>
      <c r="H41" s="309">
        <f>[2]!s_stm07_bs($C$6,"W40315239",H6,1,1000000)</f>
        <v>9668</v>
      </c>
      <c r="I41" s="309">
        <f>[2]!s_stm07_bs($C$6,"W40315239",I6,1,1000000)</f>
        <v>11217</v>
      </c>
      <c r="J41" s="309">
        <f>[2]!s_stm07_bs($C$6,"W40315239",J6,1,1000000)</f>
        <v>7776</v>
      </c>
      <c r="K41" s="309">
        <f>[2]!s_stm07_bs($C$6,"W40315239",K6,1,1000000)</f>
        <v>6749</v>
      </c>
    </row>
    <row r="42" spans="3:11" ht="13.5" x14ac:dyDescent="0.4">
      <c r="C42" s="310" t="s">
        <v>308</v>
      </c>
      <c r="E42" s="309">
        <f>[2]!s_stm07_bs($C$6,"W41970448",E6,1,1000000)</f>
        <v>2534.1129999999998</v>
      </c>
      <c r="F42" s="309">
        <f>[2]!s_stm07_bs($C$6,"W41970448",F6,1,1000000)</f>
        <v>3174</v>
      </c>
      <c r="G42" s="309">
        <f>[2]!s_stm07_bs($C$6,"W41970448",G6,1,1000000)</f>
        <v>2605</v>
      </c>
      <c r="H42" s="309">
        <f>[2]!s_stm07_bs($C$6,"W41970448",H6,1,1000000)</f>
        <v>3829</v>
      </c>
      <c r="I42" s="309">
        <f>[2]!s_stm07_bs($C$6,"W41970448",I6,1,1000000)</f>
        <v>6392</v>
      </c>
      <c r="J42" s="309">
        <f>[2]!s_stm07_bs($C$6,"W41970448",J6,1,1000000)</f>
        <v>4501</v>
      </c>
      <c r="K42" s="309">
        <f>[2]!s_stm07_bs($C$6,"W41970448",K6,1,1000000)</f>
        <v>6377</v>
      </c>
    </row>
    <row r="43" spans="3:11" ht="13.5" x14ac:dyDescent="0.4">
      <c r="C43" s="310" t="s">
        <v>309</v>
      </c>
      <c r="E43" s="309">
        <f>[2]!s_stm07_bs($C$6,"W43255562",E6,1,1000000)</f>
        <v>12625.216</v>
      </c>
      <c r="F43" s="309">
        <f>[2]!s_stm07_bs($C$6,"W43255562",F6,1,1000000)</f>
        <v>18414</v>
      </c>
      <c r="G43" s="309">
        <f>[2]!s_stm07_bs($C$6,"W43255562",G6,1,1000000)</f>
        <v>20949</v>
      </c>
      <c r="H43" s="309">
        <f>[2]!s_stm07_bs($C$6,"W43255562",H6,1,1000000)</f>
        <v>29950</v>
      </c>
      <c r="I43" s="309">
        <f>[2]!s_stm07_bs($C$6,"W43255562",I6,1,1000000)</f>
        <v>30612</v>
      </c>
      <c r="J43" s="309">
        <f>[2]!s_stm07_bs($C$6,"W43255562",J6,1,1000000)</f>
        <v>33576</v>
      </c>
      <c r="K43" s="309">
        <f>[2]!s_stm07_bs($C$6,"W43255562",K6,1,1000000)</f>
        <v>34930</v>
      </c>
    </row>
    <row r="44" spans="3:11" ht="13.5" x14ac:dyDescent="0.4">
      <c r="C44" s="319" t="s">
        <v>310</v>
      </c>
      <c r="E44" s="309">
        <f>[2]!s_stm07_bs($C$6,"W92205118",E6,1,1000000)</f>
        <v>17.117999999999999</v>
      </c>
      <c r="F44" s="309">
        <f>[2]!s_stm07_bs($C$6,"W92205118",F6,1,1000000)</f>
        <v>17</v>
      </c>
      <c r="G44" s="309">
        <f>[2]!s_stm07_bs($C$6,"W92205118",G6,1,1000000)</f>
        <v>326</v>
      </c>
      <c r="H44" s="309">
        <f>[2]!s_stm07_bs($C$6,"W92205118",H6,1,1000000)</f>
        <v>424</v>
      </c>
      <c r="I44" s="309">
        <f>[2]!s_stm07_bs($C$6,"W92205118",I6,1,1000000)</f>
        <v>446</v>
      </c>
      <c r="J44" s="309">
        <f>[2]!s_stm07_bs($C$6,"W92205118",J6,1,1000000)</f>
        <v>415</v>
      </c>
      <c r="K44" s="309">
        <f>[2]!s_stm07_bs($C$6,"W92205118",K6,1,1000000)</f>
        <v>407</v>
      </c>
    </row>
    <row r="45" spans="3:11" ht="13.5" x14ac:dyDescent="0.4">
      <c r="C45" s="310" t="s">
        <v>311</v>
      </c>
      <c r="E45" s="309">
        <f>[2]!s_stm07_bs($C$6,"W41002911",E6,1,1000000)</f>
        <v>16000</v>
      </c>
      <c r="F45" s="309">
        <f>[2]!s_stm07_bs($C$6,"W41002911",F6,1,1000000)</f>
        <v>52700</v>
      </c>
      <c r="G45" s="309">
        <f>[2]!s_stm07_bs($C$6,"W41002911",G6,1,1000000)</f>
        <v>42247</v>
      </c>
      <c r="H45" s="309">
        <f>[2]!s_stm07_bs($C$6,"W41002911",H6,1,1000000)</f>
        <v>89676</v>
      </c>
      <c r="I45" s="309">
        <f>[2]!s_stm07_bs($C$6,"W41002911",I6,1,1000000)</f>
        <v>210061</v>
      </c>
      <c r="J45" s="309">
        <f>[2]!s_stm07_bs($C$6,"W41002911",J6,1,1000000)</f>
        <v>412500</v>
      </c>
      <c r="K45" s="309">
        <f>[2]!s_stm07_bs($C$6,"W41002911",K6,1,1000000)</f>
        <v>606074</v>
      </c>
    </row>
    <row r="46" spans="3:11" ht="13.5" x14ac:dyDescent="0.4">
      <c r="C46" s="286" t="s">
        <v>312</v>
      </c>
      <c r="E46" s="309">
        <f>[2]!s_stm07_bs($C$6,"W47653457",E6,1,1000000)</f>
        <v>0</v>
      </c>
      <c r="F46" s="309">
        <f>[2]!s_stm07_bs($C$6,"W47653457",F6,1,1000000)</f>
        <v>0</v>
      </c>
      <c r="G46" s="309">
        <f>[2]!s_stm07_bs($C$6,"W47653457",G6,1,1000000)</f>
        <v>0</v>
      </c>
      <c r="H46" s="309">
        <f>[2]!s_stm07_bs($C$6,"W47653457",H6,1,1000000)</f>
        <v>0</v>
      </c>
      <c r="I46" s="309">
        <f>[2]!s_stm07_bs($C$6,"W47653457",I6,1,1000000)</f>
        <v>0</v>
      </c>
      <c r="J46" s="309">
        <f>[2]!s_stm07_bs($C$6,"W47653457",J6,1,1000000)</f>
        <v>0</v>
      </c>
      <c r="K46" s="309">
        <f>[2]!s_stm07_bs($C$6,"W47653457",K6,1,1000000)</f>
        <v>0</v>
      </c>
    </row>
    <row r="47" spans="3:11" ht="13.5" x14ac:dyDescent="0.4">
      <c r="C47" s="286" t="s">
        <v>313</v>
      </c>
      <c r="E47" s="311">
        <f t="shared" ref="E47:K47" si="1">E48-SUM(E33:E46)</f>
        <v>32823.882000000216</v>
      </c>
      <c r="F47" s="311">
        <f t="shared" si="1"/>
        <v>29410</v>
      </c>
      <c r="G47" s="311">
        <f t="shared" si="1"/>
        <v>27430</v>
      </c>
      <c r="H47" s="311">
        <f t="shared" si="1"/>
        <v>12119</v>
      </c>
      <c r="I47" s="311">
        <f t="shared" si="1"/>
        <v>14617</v>
      </c>
      <c r="J47" s="311">
        <f t="shared" si="1"/>
        <v>30901</v>
      </c>
      <c r="K47" s="311">
        <f t="shared" si="1"/>
        <v>33896</v>
      </c>
    </row>
    <row r="48" spans="3:11" ht="13.9" thickBot="1" x14ac:dyDescent="0.45">
      <c r="C48" s="312" t="s">
        <v>314</v>
      </c>
      <c r="E48" s="313">
        <f>[2]!s_stm07_bs($C$6,"W47401840",E6,1,1000000)</f>
        <v>1637195.9739999999</v>
      </c>
      <c r="F48" s="313">
        <f>[2]!s_stm07_bs($C$6,"W47401840",F6,1,1000000)</f>
        <v>2164973</v>
      </c>
      <c r="G48" s="313">
        <f>[2]!s_stm07_bs($C$6,"W47401840",G6,1,1000000)</f>
        <v>2262034</v>
      </c>
      <c r="H48" s="313">
        <f>[2]!s_stm07_bs($C$6,"W47401840",H6,1,1000000)</f>
        <v>2557527</v>
      </c>
      <c r="I48" s="313">
        <f>[2]!s_stm07_bs($C$6,"W47401840",I6,1,1000000)</f>
        <v>2943663</v>
      </c>
      <c r="J48" s="313">
        <f>[2]!s_stm07_bs($C$6,"W47401840",J6,1,1000000)</f>
        <v>3768974</v>
      </c>
      <c r="K48" s="313">
        <f>[2]!s_stm07_bs($C$6,"W47401840",K6,1,1000000)</f>
        <v>3863247</v>
      </c>
    </row>
    <row r="49" spans="3:11" x14ac:dyDescent="0.4">
      <c r="E49" s="314">
        <f>[2]!s_stm07_bs($C$6,"W95894192",E6,1,1000000)-E47</f>
        <v>-2.1827872842550278E-10</v>
      </c>
      <c r="F49" s="314">
        <f>[2]!s_stm07_bs($C$6,"W95894192",F6,1,1000000)-F47</f>
        <v>0</v>
      </c>
      <c r="G49" s="314">
        <f>[2]!s_stm07_bs($C$6,"W95894192",G6,1,1000000)-G47</f>
        <v>0</v>
      </c>
      <c r="H49" s="314">
        <f>[2]!s_stm07_bs($C$6,"W95894192",H6,1,1000000)-H47</f>
        <v>0</v>
      </c>
      <c r="I49" s="314">
        <f>[2]!s_stm07_bs($C$6,"W95894192",I6,1,1000000)-I47</f>
        <v>0</v>
      </c>
      <c r="J49" s="314">
        <f>[2]!s_stm07_bs($C$6,"W95894192",J6,1,1000000)-J47</f>
        <v>0</v>
      </c>
      <c r="K49" s="314">
        <f>[2]!s_stm07_bs($C$6,"W95894192",K6,1,1000000)-K47</f>
        <v>0</v>
      </c>
    </row>
    <row r="50" spans="3:11" ht="13.9" thickBot="1" x14ac:dyDescent="0.45">
      <c r="C50" s="315" t="s">
        <v>315</v>
      </c>
      <c r="E50" s="314">
        <f>SUM(E51:E58)-E59</f>
        <v>0</v>
      </c>
      <c r="F50" s="314">
        <f t="shared" ref="F50:K50" si="2">SUM(F51:F58)-F59</f>
        <v>0</v>
      </c>
      <c r="G50" s="314">
        <f t="shared" si="2"/>
        <v>0</v>
      </c>
      <c r="H50" s="314">
        <f t="shared" si="2"/>
        <v>0</v>
      </c>
      <c r="I50" s="314">
        <f>SUM(I51:I58)-I59</f>
        <v>0</v>
      </c>
      <c r="J50" s="314">
        <f t="shared" si="2"/>
        <v>0</v>
      </c>
      <c r="K50" s="314">
        <f t="shared" si="2"/>
        <v>0</v>
      </c>
    </row>
    <row r="51" spans="3:11" ht="13.5" x14ac:dyDescent="0.4">
      <c r="C51" s="321" t="s">
        <v>316</v>
      </c>
      <c r="E51" s="318">
        <f>[2]!s_stm07_bs($C$6,"W43225999",E6,1,1000000)</f>
        <v>40434.79</v>
      </c>
      <c r="F51" s="318">
        <f>[2]!s_stm07_bs($C$6,"W43225999",F6,1,1000000)</f>
        <v>40435</v>
      </c>
      <c r="G51" s="318">
        <f>[2]!s_stm07_bs($C$6,"W43225999",G6,1,1000000)</f>
        <v>46277</v>
      </c>
      <c r="H51" s="318">
        <f>[2]!s_stm07_bs($C$6,"W43225999",H6,1,1000000)</f>
        <v>46679</v>
      </c>
      <c r="I51" s="318">
        <f>[2]!s_stm07_bs($C$6,"W43225999",I6,1,1000000)</f>
        <v>46679</v>
      </c>
      <c r="J51" s="318">
        <f>[2]!s_stm07_bs($C$6,"W43225999",J6,1,1000000)</f>
        <v>46679</v>
      </c>
      <c r="K51" s="318">
        <f>[2]!s_stm07_bs($C$6,"W43225999",K6,1,1000000)</f>
        <v>46679</v>
      </c>
    </row>
    <row r="52" spans="3:11" ht="13.5" x14ac:dyDescent="0.4">
      <c r="C52" s="322" t="s">
        <v>317</v>
      </c>
      <c r="E52" s="323">
        <f>[2]!s_stm07_bs_164($C$6,E6,1,1000000)</f>
        <v>0</v>
      </c>
      <c r="F52" s="323">
        <f>[2]!s_stm07_bs_164($C$6,F6,1,1000000)</f>
        <v>0</v>
      </c>
      <c r="G52" s="323">
        <f>[2]!s_stm07_bs_164($C$6,G6,1,1000000)</f>
        <v>0</v>
      </c>
      <c r="H52" s="323">
        <f>[2]!s_stm07_bs_164($C$6,H6,1,1000000)</f>
        <v>0</v>
      </c>
      <c r="I52" s="323">
        <f>[2]!s_stm07_bs_164($C$6,I6,1,1000000)</f>
        <v>19965</v>
      </c>
      <c r="J52" s="323">
        <f>[2]!s_stm07_bs_164($C$6,J6,1,1000000)</f>
        <v>29947</v>
      </c>
      <c r="K52" s="323">
        <f>[2]!s_stm07_bs_164($C$6,K6,1,1000000)</f>
        <v>35108</v>
      </c>
    </row>
    <row r="53" spans="3:11" ht="13.5" x14ac:dyDescent="0.4">
      <c r="C53" s="286" t="s">
        <v>318</v>
      </c>
      <c r="E53" s="309">
        <f>[2]!s_stm07_bs($C$6,"W42156082",E6,1,1000000)</f>
        <v>20328.167000000001</v>
      </c>
      <c r="F53" s="309">
        <f>[2]!s_stm07_bs($C$6,"W42156082",F6,1,1000000)</f>
        <v>20258</v>
      </c>
      <c r="G53" s="309">
        <f>[2]!s_stm07_bs($C$6,"W42156082",G6,1,1000000)</f>
        <v>28707</v>
      </c>
      <c r="H53" s="309">
        <f>[2]!s_stm07_bs($C$6,"W42156082",H6,1,1000000)</f>
        <v>33365</v>
      </c>
      <c r="I53" s="309">
        <f>[2]!s_stm07_bs($C$6,"W42156082",I6,1,1000000)</f>
        <v>33365</v>
      </c>
      <c r="J53" s="309">
        <f>[2]!s_stm07_bs($C$6,"W42156082",J6,1,1000000)</f>
        <v>33365</v>
      </c>
      <c r="K53" s="309">
        <f>[2]!s_stm07_bs($C$6,"W42156082",K6,1,1000000)</f>
        <v>33365</v>
      </c>
    </row>
    <row r="54" spans="3:11" ht="13.5" x14ac:dyDescent="0.4">
      <c r="C54" s="286" t="s">
        <v>319</v>
      </c>
      <c r="E54" s="309">
        <f>[2]!s_stm07_bs($C$6,"163",E6,1,1000000)</f>
        <v>0</v>
      </c>
      <c r="F54" s="309">
        <f>[2]!s_stm07_bs($C$6,"163",F6,1,1000000)</f>
        <v>0</v>
      </c>
      <c r="G54" s="309">
        <f>[2]!s_stm07_bs($C$6,"163",G6,1,1000000)</f>
        <v>0</v>
      </c>
      <c r="H54" s="309">
        <f>[2]!s_stm07_bs($C$6,"163",H6,1,1000000)</f>
        <v>222</v>
      </c>
      <c r="I54" s="309">
        <f>[2]!s_stm07_bs($C$6,"163",I6,1,1000000)</f>
        <v>3929</v>
      </c>
      <c r="J54" s="309">
        <f>[2]!s_stm07_bs($C$6,"163",J6,1,1000000)</f>
        <v>509</v>
      </c>
      <c r="K54" s="309">
        <f>[2]!s_stm07_bs($C$6,"163",K6,1,1000000)</f>
        <v>-586</v>
      </c>
    </row>
    <row r="55" spans="3:11" ht="13.5" x14ac:dyDescent="0.4">
      <c r="C55" s="286" t="s">
        <v>320</v>
      </c>
      <c r="E55" s="309">
        <f>[2]!s_stm07_bs($C$6,"W48226390",E6,1,1000000)</f>
        <v>4225.6260000000002</v>
      </c>
      <c r="F55" s="309">
        <f>[2]!s_stm07_bs($C$6,"W48226390",F6,1,1000000)</f>
        <v>6560</v>
      </c>
      <c r="G55" s="309">
        <f>[2]!s_stm07_bs($C$6,"W48226390",G6,1,1000000)</f>
        <v>9199</v>
      </c>
      <c r="H55" s="309">
        <f>[2]!s_stm07_bs($C$6,"W48226390",H6,1,1000000)</f>
        <v>12050</v>
      </c>
      <c r="I55" s="309">
        <f>[2]!s_stm07_bs($C$6,"W48226390",I6,1,1000000)</f>
        <v>14964</v>
      </c>
      <c r="J55" s="309">
        <f>[2]!s_stm07_bs($C$6,"W48226390",J6,1,1000000)</f>
        <v>17951</v>
      </c>
      <c r="K55" s="309">
        <f>[2]!s_stm07_bs($C$6,"W48226390",K6,1,1000000)</f>
        <v>17951</v>
      </c>
    </row>
    <row r="56" spans="3:11" ht="13.5" x14ac:dyDescent="0.4">
      <c r="C56" s="286" t="s">
        <v>321</v>
      </c>
      <c r="E56" s="309">
        <f>[2]!s_stm07_bs($C$6,"W44631682",E6,1,1000000)</f>
        <v>13876.648999999999</v>
      </c>
      <c r="F56" s="309">
        <f>[2]!s_stm07_bs($C$6,"W44631682",F6,1,1000000)</f>
        <v>28063</v>
      </c>
      <c r="G56" s="309">
        <f>[2]!s_stm07_bs($C$6,"W44631682",G6,1,1000000)</f>
        <v>29861</v>
      </c>
      <c r="H56" s="309">
        <f>[2]!s_stm07_bs($C$6,"W44631682",H6,1,1000000)</f>
        <v>33903</v>
      </c>
      <c r="I56" s="309">
        <f>[2]!s_stm07_bs($C$6,"W44631682",I6,1,1000000)</f>
        <v>40271</v>
      </c>
      <c r="J56" s="309">
        <f>[2]!s_stm07_bs($C$6,"W44631682",J6,1,1000000)</f>
        <v>51447</v>
      </c>
      <c r="K56" s="309">
        <f>[2]!s_stm07_bs($C$6,"W44631682",K6,1,1000000)</f>
        <v>51447</v>
      </c>
    </row>
    <row r="57" spans="3:11" ht="13.5" x14ac:dyDescent="0.4">
      <c r="C57" s="286" t="s">
        <v>322</v>
      </c>
      <c r="E57" s="309">
        <f>[2]!s_stm07_bs($C$6,"W43705838",E6,1,1000000)</f>
        <v>17168.932000000001</v>
      </c>
      <c r="F57" s="309">
        <f>[2]!s_stm07_bs($C$6,"W43705838",F6,1,1000000)</f>
        <v>18862</v>
      </c>
      <c r="G57" s="309">
        <f>[2]!s_stm07_bs($C$6,"W43705838",G6,1,1000000)</f>
        <v>38795</v>
      </c>
      <c r="H57" s="309">
        <f>[2]!s_stm07_bs($C$6,"W43705838",H6,1,1000000)</f>
        <v>52756</v>
      </c>
      <c r="I57" s="309">
        <f>[2]!s_stm07_bs($C$6,"W43705838",I6,1,1000000)</f>
        <v>64320</v>
      </c>
      <c r="J57" s="309">
        <f>[2]!s_stm07_bs($C$6,"W43705838",J6,1,1000000)</f>
        <v>70557</v>
      </c>
      <c r="K57" s="309">
        <f>[2]!s_stm07_bs($C$6,"W43705838",K6,1,1000000)</f>
        <v>79136</v>
      </c>
    </row>
    <row r="58" spans="3:11" ht="13.5" x14ac:dyDescent="0.4">
      <c r="C58" s="286" t="s">
        <v>323</v>
      </c>
      <c r="E58" s="324">
        <f>[2]!s_stm07_bs($C$6,"W43561211",E6,1,1000000)</f>
        <v>0</v>
      </c>
      <c r="F58" s="324">
        <f>[2]!s_stm07_bs($C$6,"W43561211",F6,1,1000000)</f>
        <v>0</v>
      </c>
      <c r="G58" s="324">
        <f>[2]!s_stm07_bs($C$6,"W43561211",G6,1,1000000)</f>
        <v>0</v>
      </c>
      <c r="H58" s="324">
        <f>[2]!s_stm07_bs($C$6,"W43561211",H6,1,1000000)</f>
        <v>0</v>
      </c>
      <c r="I58" s="324">
        <f>[2]!s_stm07_bs($C$6,"W43561211",I6,1,1000000)</f>
        <v>0</v>
      </c>
      <c r="J58" s="324">
        <f>[2]!s_stm07_bs($C$6,"W43561211",J6,1,1000000)</f>
        <v>0</v>
      </c>
      <c r="K58" s="324">
        <f>[2]!s_stm07_bs($C$6,"W43561211",K6,1,1000000)</f>
        <v>0</v>
      </c>
    </row>
    <row r="59" spans="3:11" ht="13.5" x14ac:dyDescent="0.4">
      <c r="C59" s="325" t="s">
        <v>324</v>
      </c>
      <c r="E59" s="326">
        <f>[2]!s_stm07_bs($C$6,"W43740284",E6,1,1000000)</f>
        <v>96034.164000000004</v>
      </c>
      <c r="F59" s="326">
        <f>[2]!s_stm07_bs($C$6,"W43740284",F6,1,1000000)</f>
        <v>114178</v>
      </c>
      <c r="G59" s="326">
        <f>[2]!s_stm07_bs($C$6,"W43740284",G6,1,1000000)</f>
        <v>152839</v>
      </c>
      <c r="H59" s="326">
        <f>[2]!s_stm07_bs($C$6,"W43740284",H6,1,1000000)</f>
        <v>178975</v>
      </c>
      <c r="I59" s="326">
        <f>[2]!s_stm07_bs($C$6,"W43740284",I6,1,1000000)</f>
        <v>223493</v>
      </c>
      <c r="J59" s="326">
        <f>[2]!s_stm07_bs($C$6,"W43740284",J6,1,1000000)</f>
        <v>250455</v>
      </c>
      <c r="K59" s="326">
        <f>[2]!s_stm07_bs($C$6,"W43740284",K6,1,1000000)</f>
        <v>263100</v>
      </c>
    </row>
    <row r="60" spans="3:11" ht="13.5" x14ac:dyDescent="0.4">
      <c r="C60" s="327" t="s">
        <v>325</v>
      </c>
      <c r="E60" s="328">
        <f>[2]!s_stm07_bs($C$6,"W44301909",E6,1,1000000)</f>
        <v>115.46899999999999</v>
      </c>
      <c r="F60" s="328">
        <f>[2]!s_stm07_bs($C$6,"W44301909",F6,1,1000000)</f>
        <v>144</v>
      </c>
      <c r="G60" s="328">
        <f>[2]!s_stm07_bs($C$6,"W44301909",G6,1,1000000)</f>
        <v>213</v>
      </c>
      <c r="H60" s="328">
        <f>[2]!s_stm07_bs($C$6,"W44301909",H6,1,1000000)</f>
        <v>508</v>
      </c>
      <c r="I60" s="328">
        <f>[2]!s_stm07_bs($C$6,"W44301909",I6,1,1000000)</f>
        <v>554</v>
      </c>
      <c r="J60" s="328">
        <f>[2]!s_stm07_bs($C$6,"W44301909",J6,1,1000000)</f>
        <v>613</v>
      </c>
      <c r="K60" s="328">
        <f>[2]!s_stm07_bs($C$6,"W44301909",K6,1,1000000)</f>
        <v>633</v>
      </c>
    </row>
    <row r="61" spans="3:11" ht="13.5" x14ac:dyDescent="0.4">
      <c r="C61" s="329" t="s">
        <v>326</v>
      </c>
      <c r="E61" s="330">
        <f t="shared" ref="E61:I61" si="3">E59+E60</f>
        <v>96149.633000000002</v>
      </c>
      <c r="F61" s="330">
        <f t="shared" si="3"/>
        <v>114322</v>
      </c>
      <c r="G61" s="330">
        <f t="shared" si="3"/>
        <v>153052</v>
      </c>
      <c r="H61" s="330">
        <f t="shared" si="3"/>
        <v>179483</v>
      </c>
      <c r="I61" s="330">
        <f t="shared" si="3"/>
        <v>224047</v>
      </c>
      <c r="J61" s="330">
        <f>J59+J60</f>
        <v>251068</v>
      </c>
      <c r="K61" s="330">
        <f>K59+K60</f>
        <v>263733</v>
      </c>
    </row>
    <row r="62" spans="3:11" ht="13.9" thickBot="1" x14ac:dyDescent="0.45">
      <c r="C62" s="331" t="s">
        <v>327</v>
      </c>
      <c r="E62" s="332">
        <f t="shared" ref="E62:J62" si="4">E61+E48</f>
        <v>1733345.6069999998</v>
      </c>
      <c r="F62" s="332">
        <f t="shared" si="4"/>
        <v>2279295</v>
      </c>
      <c r="G62" s="332">
        <f t="shared" si="4"/>
        <v>2415086</v>
      </c>
      <c r="H62" s="332">
        <f t="shared" si="4"/>
        <v>2737010</v>
      </c>
      <c r="I62" s="332">
        <f t="shared" si="4"/>
        <v>3167710</v>
      </c>
      <c r="J62" s="332">
        <f t="shared" si="4"/>
        <v>4020042</v>
      </c>
      <c r="K62" s="332">
        <f>K61+K48</f>
        <v>4126980</v>
      </c>
    </row>
    <row r="63" spans="3:11" s="334" customFormat="1" ht="13.5" x14ac:dyDescent="0.4">
      <c r="C63" s="333" t="s">
        <v>328</v>
      </c>
      <c r="E63" s="335">
        <f t="shared" ref="E63:K63" si="5">E30-E62</f>
        <v>0</v>
      </c>
      <c r="F63" s="335">
        <f t="shared" si="5"/>
        <v>0</v>
      </c>
      <c r="G63" s="335">
        <f t="shared" si="5"/>
        <v>0</v>
      </c>
      <c r="H63" s="335">
        <f t="shared" si="5"/>
        <v>0</v>
      </c>
      <c r="I63" s="335">
        <f t="shared" si="5"/>
        <v>0</v>
      </c>
      <c r="J63" s="335">
        <f t="shared" si="5"/>
        <v>0</v>
      </c>
      <c r="K63" s="335">
        <f t="shared" si="5"/>
        <v>0</v>
      </c>
    </row>
    <row r="64" spans="3:11" x14ac:dyDescent="0.4">
      <c r="E64" s="314"/>
      <c r="F64" s="314"/>
      <c r="G64" s="314"/>
      <c r="H64" s="314"/>
      <c r="I64" s="314"/>
      <c r="J64" s="314"/>
      <c r="K64" s="314"/>
    </row>
    <row r="65" spans="2:11" x14ac:dyDescent="0.4">
      <c r="E65" s="314"/>
      <c r="F65" s="314"/>
      <c r="G65" s="314"/>
      <c r="H65" s="314"/>
      <c r="I65" s="314"/>
      <c r="J65" s="314"/>
      <c r="K65" s="314"/>
    </row>
    <row r="66" spans="2:11" ht="13.9" thickBot="1" x14ac:dyDescent="0.45">
      <c r="B66" s="336" t="s">
        <v>329</v>
      </c>
      <c r="E66" s="314">
        <f>[2]!s_stm07_is($C$6,"W16498900",E6,1,1000000)-E67</f>
        <v>0</v>
      </c>
      <c r="F66" s="314">
        <f>[2]!s_stm07_is($C$6,"W16498900",F6,1,1000000)-F67</f>
        <v>0</v>
      </c>
      <c r="G66" s="314">
        <f>[2]!s_stm07_is($C$6,"W16498900",G6,1,1000000)-G67</f>
        <v>0</v>
      </c>
      <c r="H66" s="314">
        <f>[2]!s_stm07_is($C$6,"W16498900",H6,1,1000000)-H67</f>
        <v>0</v>
      </c>
      <c r="I66" s="314">
        <f>[2]!s_stm07_is($C$6,"W16498900",I6,1,1000000)-I67</f>
        <v>0</v>
      </c>
      <c r="J66" s="314">
        <f>[2]!s_stm07_is($C$6,"W16498900",J6,1,1000000)-J67</f>
        <v>0</v>
      </c>
      <c r="K66" s="314">
        <f>[2]!s_stm07_is($C$6,"W16498900",K6,1,1000000)-K67</f>
        <v>0</v>
      </c>
    </row>
    <row r="67" spans="2:11" ht="13.5" x14ac:dyDescent="0.4">
      <c r="C67" s="337" t="s">
        <v>330</v>
      </c>
      <c r="E67" s="338">
        <f t="shared" ref="E67:J67" si="6">E68+E71</f>
        <v>46072.552999999993</v>
      </c>
      <c r="F67" s="338">
        <f t="shared" si="6"/>
        <v>59916</v>
      </c>
      <c r="G67" s="338">
        <f t="shared" si="6"/>
        <v>65306</v>
      </c>
      <c r="H67" s="338">
        <f t="shared" si="6"/>
        <v>78531</v>
      </c>
      <c r="I67" s="338">
        <f t="shared" si="6"/>
        <v>93159</v>
      </c>
      <c r="J67" s="338">
        <f t="shared" si="6"/>
        <v>94037</v>
      </c>
      <c r="K67" s="338">
        <f>K68+K71</f>
        <v>23657</v>
      </c>
    </row>
    <row r="68" spans="2:11" ht="13.5" x14ac:dyDescent="0.4">
      <c r="C68" s="286" t="s">
        <v>331</v>
      </c>
      <c r="E68" s="314">
        <f t="shared" ref="E68:J68" si="7">E69+E70</f>
        <v>39440.23599999999</v>
      </c>
      <c r="F68" s="314">
        <f t="shared" si="7"/>
        <v>50263</v>
      </c>
      <c r="G68" s="314">
        <f t="shared" si="7"/>
        <v>50862</v>
      </c>
      <c r="H68" s="314">
        <f t="shared" si="7"/>
        <v>58259</v>
      </c>
      <c r="I68" s="314">
        <f t="shared" si="7"/>
        <v>66459</v>
      </c>
      <c r="J68" s="314">
        <f t="shared" si="7"/>
        <v>65288</v>
      </c>
      <c r="K68" s="314">
        <f>K69+K70</f>
        <v>15203</v>
      </c>
    </row>
    <row r="69" spans="2:11" ht="13.5" x14ac:dyDescent="0.4">
      <c r="C69" s="286" t="s">
        <v>332</v>
      </c>
      <c r="E69" s="309">
        <f>[2]!s_stm07_is($C$6,"W66665549",E6,1,1000000)</f>
        <v>77884.592999999993</v>
      </c>
      <c r="F69" s="309">
        <f>[2]!s_stm07_is($C$6,"W66665549",F6,1,1000000)</f>
        <v>103971</v>
      </c>
      <c r="G69" s="309">
        <f>[2]!s_stm07_is($C$6,"W66665549",G6,1,1000000)</f>
        <v>120082</v>
      </c>
      <c r="H69" s="309">
        <f>[2]!s_stm07_is($C$6,"W66665549",H6,1,1000000)</f>
        <v>133926</v>
      </c>
      <c r="I69" s="309">
        <f>[2]!s_stm07_is($C$6,"W66665549",I6,1,1000000)</f>
        <v>141907</v>
      </c>
      <c r="J69" s="309">
        <f>[2]!s_stm07_is($C$6,"W66665549",J6,1,1000000)</f>
        <v>143450</v>
      </c>
      <c r="K69" s="309">
        <f>[2]!s_stm07_is($C$6,"W66665549",K6,1,1000000)</f>
        <v>38671</v>
      </c>
    </row>
    <row r="70" spans="2:11" s="339" customFormat="1" ht="13.5" x14ac:dyDescent="0.4">
      <c r="C70" s="339" t="s">
        <v>333</v>
      </c>
      <c r="E70" s="324">
        <f>0-[2]!s_stm07_is($C$6,"W62987874",E6,1,1000000)</f>
        <v>-38444.357000000004</v>
      </c>
      <c r="F70" s="324">
        <f>0-[2]!s_stm07_is($C$6,"W62987874",F6,1,1000000)</f>
        <v>-53708</v>
      </c>
      <c r="G70" s="324">
        <f>0-[2]!s_stm07_is($C$6,"W62987874",G6,1,1000000)</f>
        <v>-69220</v>
      </c>
      <c r="H70" s="324">
        <f>0-[2]!s_stm07_is($C$6,"W62987874",H6,1,1000000)</f>
        <v>-75667</v>
      </c>
      <c r="I70" s="324">
        <f>0-[2]!s_stm07_is($C$6,"W62987874",I6,1,1000000)</f>
        <v>-75448</v>
      </c>
      <c r="J70" s="324">
        <f>0-[2]!s_stm07_is($C$6,"W62987874",J6,1,1000000)</f>
        <v>-78162</v>
      </c>
      <c r="K70" s="324">
        <f>0-[2]!s_stm07_is($C$6,"W62987874",K6,1,1000000)</f>
        <v>-23468</v>
      </c>
    </row>
    <row r="71" spans="2:11" ht="13.5" x14ac:dyDescent="0.4">
      <c r="C71" s="340" t="s">
        <v>334</v>
      </c>
      <c r="E71" s="341">
        <f t="shared" ref="E71:J71" si="8">E72+E75</f>
        <v>6632.317</v>
      </c>
      <c r="F71" s="341">
        <f t="shared" si="8"/>
        <v>9653</v>
      </c>
      <c r="G71" s="341">
        <f t="shared" si="8"/>
        <v>14444</v>
      </c>
      <c r="H71" s="341">
        <f t="shared" si="8"/>
        <v>20272</v>
      </c>
      <c r="I71" s="341">
        <f t="shared" si="8"/>
        <v>26700</v>
      </c>
      <c r="J71" s="341">
        <f t="shared" si="8"/>
        <v>28749</v>
      </c>
      <c r="K71" s="341">
        <f>K72+K75</f>
        <v>8454</v>
      </c>
    </row>
    <row r="72" spans="2:11" ht="13.5" x14ac:dyDescent="0.4">
      <c r="C72" s="286" t="s">
        <v>335</v>
      </c>
      <c r="E72" s="314">
        <f t="shared" ref="E72:J72" si="9">E73+E74</f>
        <v>6973.1189999999997</v>
      </c>
      <c r="F72" s="314">
        <f t="shared" si="9"/>
        <v>9479</v>
      </c>
      <c r="G72" s="314">
        <f t="shared" si="9"/>
        <v>14952</v>
      </c>
      <c r="H72" s="314">
        <f t="shared" si="9"/>
        <v>19157</v>
      </c>
      <c r="I72" s="314">
        <f t="shared" si="9"/>
        <v>26301</v>
      </c>
      <c r="J72" s="314">
        <f t="shared" si="9"/>
        <v>28112</v>
      </c>
      <c r="K72" s="314">
        <f>K73+K74</f>
        <v>8208</v>
      </c>
    </row>
    <row r="73" spans="2:11" ht="13.5" x14ac:dyDescent="0.4">
      <c r="C73" s="286" t="s">
        <v>336</v>
      </c>
      <c r="E73" s="309">
        <f>[2]!s_stm07_is($C$6,"W68082914",E6,1,1000000)</f>
        <v>7381.076</v>
      </c>
      <c r="F73" s="309">
        <f>[2]!s_stm07_is($C$6,"W68082914",F6,1,1000000)</f>
        <v>9994</v>
      </c>
      <c r="G73" s="309">
        <f>[2]!s_stm07_is($C$6,"W68082914",G6,1,1000000)</f>
        <v>15762</v>
      </c>
      <c r="H73" s="309">
        <f>[2]!s_stm07_is($C$6,"W68082914",H6,1,1000000)</f>
        <v>20445</v>
      </c>
      <c r="I73" s="309">
        <f>[2]!s_stm07_is($C$6,"W68082914",I6,1,1000000)</f>
        <v>27745</v>
      </c>
      <c r="J73" s="309">
        <f>[2]!s_stm07_is($C$6,"W68082914",J6,1,1000000)</f>
        <v>29932</v>
      </c>
      <c r="K73" s="309">
        <f>[2]!s_stm07_is($C$6,"W68082914",K6,1,1000000)</f>
        <v>8666</v>
      </c>
    </row>
    <row r="74" spans="2:11" ht="13.5" x14ac:dyDescent="0.4">
      <c r="C74" s="327" t="s">
        <v>337</v>
      </c>
      <c r="E74" s="328">
        <f>0-[2]!s_stm07_is($C$6,"W62767802",E6,1,1000000)</f>
        <v>-407.95699999999999</v>
      </c>
      <c r="F74" s="328">
        <f>0-[2]!s_stm07_is($C$6,"W62767802",F6,1,1000000)</f>
        <v>-515</v>
      </c>
      <c r="G74" s="328">
        <f>0-[2]!s_stm07_is($C$6,"W62767802",G6,1,1000000)</f>
        <v>-810</v>
      </c>
      <c r="H74" s="328">
        <f>0-[2]!s_stm07_is($C$6,"W62767802",H6,1,1000000)</f>
        <v>-1288</v>
      </c>
      <c r="I74" s="328">
        <f>0-[2]!s_stm07_is($C$6,"W62767802",I6,1,1000000)</f>
        <v>-1444</v>
      </c>
      <c r="J74" s="328">
        <f>0-[2]!s_stm07_is($C$6,"W62767802",J6,1,1000000)</f>
        <v>-1820</v>
      </c>
      <c r="K74" s="328">
        <f>0-[2]!s_stm07_is($C$6,"W62767802",K6,1,1000000)</f>
        <v>-458</v>
      </c>
    </row>
    <row r="75" spans="2:11" ht="13.5" x14ac:dyDescent="0.4">
      <c r="C75" s="286" t="s">
        <v>338</v>
      </c>
      <c r="E75" s="314">
        <f t="shared" ref="E75:J75" si="10">SUM(E76:E79)</f>
        <v>-340.80200000000008</v>
      </c>
      <c r="F75" s="314">
        <f t="shared" si="10"/>
        <v>174</v>
      </c>
      <c r="G75" s="314">
        <f t="shared" si="10"/>
        <v>-508</v>
      </c>
      <c r="H75" s="314">
        <f t="shared" si="10"/>
        <v>1115</v>
      </c>
      <c r="I75" s="314">
        <f t="shared" si="10"/>
        <v>399</v>
      </c>
      <c r="J75" s="314">
        <f t="shared" si="10"/>
        <v>637</v>
      </c>
      <c r="K75" s="314">
        <f>SUM(K76:K79)</f>
        <v>246</v>
      </c>
    </row>
    <row r="76" spans="2:11" ht="13.5" x14ac:dyDescent="0.4">
      <c r="C76" s="286" t="s">
        <v>339</v>
      </c>
      <c r="E76" s="309">
        <f>[2]!s_stm07_is($C$6,"W68338469",E6,1,1000000)</f>
        <v>-1042.576</v>
      </c>
      <c r="F76" s="309">
        <f>[2]!s_stm07_is($C$6,"W68338469",F6,1,1000000)</f>
        <v>201</v>
      </c>
      <c r="G76" s="309">
        <f>[2]!s_stm07_is($C$6,"W68338469",G6,1,1000000)</f>
        <v>-524</v>
      </c>
      <c r="H76" s="309">
        <f>[2]!s_stm07_is($C$6,"W68338469",H6,1,1000000)</f>
        <v>1300</v>
      </c>
      <c r="I76" s="309">
        <f>[2]!s_stm07_is($C$6,"W68338469",I6,1,1000000)</f>
        <v>41</v>
      </c>
      <c r="J76" s="309">
        <f>[2]!s_stm07_is($C$6,"W68338469",J6,1,1000000)</f>
        <v>213</v>
      </c>
      <c r="K76" s="309">
        <f>[2]!s_stm07_is($C$6,"W68338469",K6,1,1000000)</f>
        <v>-359</v>
      </c>
    </row>
    <row r="77" spans="2:11" ht="13.5" x14ac:dyDescent="0.4">
      <c r="C77" s="286" t="s">
        <v>340</v>
      </c>
      <c r="E77" s="309">
        <f>[2]!s_stm07_is($C$6,"W63091148",E6,1,1000000)</f>
        <v>760.25199999999995</v>
      </c>
      <c r="F77" s="309">
        <f>[2]!s_stm07_is($C$6,"W63091148",F6,1,1000000)</f>
        <v>208</v>
      </c>
      <c r="G77" s="309">
        <f>[2]!s_stm07_is($C$6,"W63091148",G6,1,1000000)</f>
        <v>367</v>
      </c>
      <c r="H77" s="309">
        <f>[2]!s_stm07_is($C$6,"W63091148",H6,1,1000000)</f>
        <v>-210</v>
      </c>
      <c r="I77" s="309">
        <f>[2]!s_stm07_is($C$6,"W63091148",I6,1,1000000)</f>
        <v>-72</v>
      </c>
      <c r="J77" s="309">
        <f>[2]!s_stm07_is($C$6,"W63091148",J6,1,1000000)</f>
        <v>338</v>
      </c>
      <c r="K77" s="309">
        <f>[2]!s_stm07_is($C$6,"W63091148",K6,1,1000000)</f>
        <v>494</v>
      </c>
    </row>
    <row r="78" spans="2:11" ht="13.5" x14ac:dyDescent="0.4">
      <c r="C78" s="286" t="s">
        <v>341</v>
      </c>
      <c r="E78" s="309">
        <f>[2]!s_stm07_is($C$6,"W66065632",E6,1,1000000)</f>
        <v>-133.089</v>
      </c>
      <c r="F78" s="309">
        <f>[2]!s_stm07_is($C$6,"W66065632",F6,1,1000000)</f>
        <v>-361</v>
      </c>
      <c r="G78" s="309">
        <f>[2]!s_stm07_is($C$6,"W66065632",G6,1,1000000)</f>
        <v>-475</v>
      </c>
      <c r="H78" s="309">
        <f>[2]!s_stm07_is($C$6,"W66065632",H6,1,1000000)</f>
        <v>-117</v>
      </c>
      <c r="I78" s="309">
        <f>[2]!s_stm07_is($C$6,"W66065632",I6,1,1000000)</f>
        <v>311</v>
      </c>
      <c r="J78" s="309">
        <f>[2]!s_stm07_is($C$6,"W66065632",J6,1,1000000)</f>
        <v>-246</v>
      </c>
      <c r="K78" s="309">
        <f>[2]!s_stm07_is($C$6,"W66065632",K6,1,1000000)</f>
        <v>38</v>
      </c>
    </row>
    <row r="79" spans="2:11" ht="13.9" thickBot="1" x14ac:dyDescent="0.45">
      <c r="C79" s="342" t="s">
        <v>342</v>
      </c>
      <c r="E79" s="343">
        <f>[2]!s_stm07_is_85($C$6,E6,1,1000000)</f>
        <v>74.611000000000004</v>
      </c>
      <c r="F79" s="343">
        <f>[2]!s_stm07_is_85($C$6,F6,1,1000000)</f>
        <v>126</v>
      </c>
      <c r="G79" s="343">
        <f>[2]!s_stm07_is_85($C$6,G6,1,1000000)</f>
        <v>124</v>
      </c>
      <c r="H79" s="343">
        <f>[2]!s_stm07_is_85($C$6,H6,1,1000000)</f>
        <v>142</v>
      </c>
      <c r="I79" s="343">
        <f>[2]!s_stm07_is_85($C$6,I6,1,1000000)</f>
        <v>119</v>
      </c>
      <c r="J79" s="343">
        <f>[2]!s_stm07_is_85($C$6,J6,1,1000000)</f>
        <v>332</v>
      </c>
      <c r="K79" s="343">
        <f>[2]!s_stm07_is_85($C$6,K6,1,1000000)</f>
        <v>73</v>
      </c>
    </row>
    <row r="80" spans="2:11" ht="13.5" thickBot="1" x14ac:dyDescent="0.45">
      <c r="E80" s="344">
        <f>[2]!s_stm07_is($C$6,"W96716848",E6,1,1000000)+E81</f>
        <v>0</v>
      </c>
      <c r="F80" s="344">
        <f>[2]!s_stm07_is($C$6,"W96716848",F6,1,1000000)+F81</f>
        <v>0</v>
      </c>
      <c r="G80" s="344">
        <f>[2]!s_stm07_is($C$6,"W96716848",G6,1,1000000)+G81</f>
        <v>0</v>
      </c>
      <c r="H80" s="344">
        <f>[2]!s_stm07_is($C$6,"W96716848",H6,1,1000000)+H81</f>
        <v>0</v>
      </c>
      <c r="I80" s="344">
        <f>[2]!s_stm07_is($C$6,"W96716848",I6,1,1000000)+I81</f>
        <v>0</v>
      </c>
      <c r="J80" s="344">
        <f>[2]!s_stm07_is($C$6,"W96716848",J6,1,1000000)+J81</f>
        <v>0</v>
      </c>
      <c r="K80" s="344">
        <f>[2]!s_stm07_is($C$6,"W96716848",K6,1,1000000)+K81</f>
        <v>0</v>
      </c>
    </row>
    <row r="81" spans="3:12" ht="13.5" x14ac:dyDescent="0.4">
      <c r="C81" s="337" t="s">
        <v>343</v>
      </c>
      <c r="E81" s="338">
        <f t="shared" ref="E81:J81" si="11">SUM(E82:E85)</f>
        <v>-21925.379000000001</v>
      </c>
      <c r="F81" s="338">
        <f t="shared" si="11"/>
        <v>-28405</v>
      </c>
      <c r="G81" s="338">
        <f t="shared" si="11"/>
        <v>-31021</v>
      </c>
      <c r="H81" s="338">
        <f t="shared" si="11"/>
        <v>-40115</v>
      </c>
      <c r="I81" s="338">
        <f t="shared" si="11"/>
        <v>-53919</v>
      </c>
      <c r="J81" s="338">
        <f t="shared" si="11"/>
        <v>-54100</v>
      </c>
      <c r="K81" s="338">
        <f>SUM(K82:K85)</f>
        <v>-12213</v>
      </c>
    </row>
    <row r="82" spans="3:12" ht="13.5" x14ac:dyDescent="0.4">
      <c r="C82" s="286" t="s">
        <v>344</v>
      </c>
      <c r="E82" s="323">
        <f>0-[2]!s_stm07_is($C$6,"W61922150",E6,1,1000000)</f>
        <v>-3448.134</v>
      </c>
      <c r="F82" s="323">
        <f>0-[2]!s_stm07_is($C$6,"W61922150",F6,1,1000000)</f>
        <v>-4551</v>
      </c>
      <c r="G82" s="323">
        <f>0-[2]!s_stm07_is($C$6,"W61922150",G6,1,1000000)</f>
        <v>-5607</v>
      </c>
      <c r="H82" s="323">
        <f>0-[2]!s_stm07_is($C$6,"W61922150",H6,1,1000000)</f>
        <v>-6361</v>
      </c>
      <c r="I82" s="323">
        <f>0-[2]!s_stm07_is($C$6,"W61922150",I6,1,1000000)</f>
        <v>-7096</v>
      </c>
      <c r="J82" s="323">
        <f>0-[2]!s_stm07_is($C$6,"W61922150",J6,1,1000000)</f>
        <v>-2885</v>
      </c>
      <c r="K82" s="323">
        <f>0-[2]!s_stm07_is($C$6,"W61922150",K6,1,1000000)</f>
        <v>-249</v>
      </c>
    </row>
    <row r="83" spans="3:12" ht="13.5" x14ac:dyDescent="0.4">
      <c r="C83" s="286" t="s">
        <v>345</v>
      </c>
      <c r="E83" s="309">
        <f>0-[2]!s_stm07_is($C$6,"W66107451",E6,1,1000000)</f>
        <v>-14720.049000000001</v>
      </c>
      <c r="F83" s="309">
        <f>0-[2]!s_stm07_is($C$6,"W66107451",F6,1,1000000)</f>
        <v>-17956</v>
      </c>
      <c r="G83" s="309">
        <f>0-[2]!s_stm07_is($C$6,"W66107451",G6,1,1000000)</f>
        <v>-20622</v>
      </c>
      <c r="H83" s="309">
        <f>0-[2]!s_stm07_is($C$6,"W66107451",H6,1,1000000)</f>
        <v>-23416</v>
      </c>
      <c r="I83" s="309">
        <f>0-[2]!s_stm07_is($C$6,"W66107451",I6,1,1000000)</f>
        <v>-25070</v>
      </c>
      <c r="J83" s="309">
        <f>0-[2]!s_stm07_is($C$6,"W66107451",J6,1,1000000)</f>
        <v>-27057</v>
      </c>
      <c r="K83" s="309">
        <f>0-[2]!s_stm07_is($C$6,"W66107451",K6,1,1000000)</f>
        <v>-6396</v>
      </c>
    </row>
    <row r="84" spans="3:12" ht="13.5" x14ac:dyDescent="0.4">
      <c r="C84" s="286" t="s">
        <v>346</v>
      </c>
      <c r="E84" s="309">
        <f>0-[2]!s_stm07_is($C$6,"W65284919",E6,1,1000000)</f>
        <v>-3698.078</v>
      </c>
      <c r="F84" s="309">
        <f>0-[2]!s_stm07_is($C$6,"W65284919",F6,1,1000000)</f>
        <v>-5795</v>
      </c>
      <c r="G84" s="309">
        <f>0-[2]!s_stm07_is($C$6,"W65284919",G6,1,1000000)</f>
        <v>-4633</v>
      </c>
      <c r="H84" s="309">
        <f>0-[2]!s_stm07_is($C$6,"W65284919",H6,1,1000000)</f>
        <v>-10209</v>
      </c>
      <c r="I84" s="309">
        <f>0-[2]!s_stm07_is($C$6,"W65284919",I6,1,1000000)</f>
        <v>-21652</v>
      </c>
      <c r="J84" s="309">
        <f>0-[2]!s_stm07_is($C$6,"W65284919",J6,1,1000000)</f>
        <v>-23931</v>
      </c>
      <c r="K84" s="309">
        <f>0-[2]!s_stm07_is($C$6,"W65284919",K6,1,1000000)</f>
        <v>-5486</v>
      </c>
    </row>
    <row r="85" spans="3:12" ht="13.9" thickBot="1" x14ac:dyDescent="0.45">
      <c r="C85" s="342" t="s">
        <v>347</v>
      </c>
      <c r="E85" s="343">
        <f>0-[2]!s_stm07_is_86($C$6,E6,1,1000000)</f>
        <v>-59.118000000000002</v>
      </c>
      <c r="F85" s="343">
        <f>0-[2]!s_stm07_is_86($C$6,F6,1,1000000)</f>
        <v>-103</v>
      </c>
      <c r="G85" s="343">
        <f>0-[2]!s_stm07_is_86($C$6,G6,1,1000000)</f>
        <v>-159</v>
      </c>
      <c r="H85" s="343">
        <f>0-[2]!s_stm07_is_86($C$6,H6,1,1000000)</f>
        <v>-129</v>
      </c>
      <c r="I85" s="343">
        <f>0-[2]!s_stm07_is_86($C$6,I6,1,1000000)</f>
        <v>-101</v>
      </c>
      <c r="J85" s="343">
        <f>0-[2]!s_stm07_is_86($C$6,J6,1,1000000)</f>
        <v>-227</v>
      </c>
      <c r="K85" s="343">
        <f>0-[2]!s_stm07_is_86($C$6,K6,1,1000000)</f>
        <v>-82</v>
      </c>
      <c r="L85" s="345"/>
    </row>
    <row r="86" spans="3:12" ht="13.5" thickBot="1" x14ac:dyDescent="0.45">
      <c r="E86" s="344">
        <f>[2]!s_stm07_is($C$6,"W95264930",E6,1,1000000)-E87</f>
        <v>0</v>
      </c>
      <c r="F86" s="344">
        <f>[2]!s_stm07_is($C$6,"W95264930",F6,1,1000000)-F87</f>
        <v>0</v>
      </c>
      <c r="G86" s="344">
        <f>[2]!s_stm07_is($C$6,"W95264930",G6,1,1000000)-G87</f>
        <v>0</v>
      </c>
      <c r="H86" s="344">
        <f>[2]!s_stm07_is($C$6,"W95264930",H6,1,1000000)-H87</f>
        <v>0</v>
      </c>
      <c r="I86" s="344">
        <f>[2]!s_stm07_is($C$6,"W95264930",I6,1,1000000)-I87</f>
        <v>0</v>
      </c>
      <c r="J86" s="344">
        <f>[2]!s_stm07_is($C$6,"W95264930",J6,1,1000000)-J87</f>
        <v>0</v>
      </c>
      <c r="K86" s="344">
        <f>[2]!s_stm07_is($C$6,"W95264930",K6,1,1000000)-K87</f>
        <v>0</v>
      </c>
    </row>
    <row r="87" spans="3:12" ht="13.5" x14ac:dyDescent="0.4">
      <c r="C87" s="337" t="s">
        <v>348</v>
      </c>
      <c r="E87" s="338">
        <f t="shared" ref="E87:J87" si="12">E67+E81</f>
        <v>24147.173999999992</v>
      </c>
      <c r="F87" s="338">
        <f t="shared" si="12"/>
        <v>31511</v>
      </c>
      <c r="G87" s="338">
        <f t="shared" si="12"/>
        <v>34285</v>
      </c>
      <c r="H87" s="338">
        <f t="shared" si="12"/>
        <v>38416</v>
      </c>
      <c r="I87" s="338">
        <f t="shared" si="12"/>
        <v>39240</v>
      </c>
      <c r="J87" s="338">
        <f t="shared" si="12"/>
        <v>39937</v>
      </c>
      <c r="K87" s="338">
        <f>K67+K81</f>
        <v>11444</v>
      </c>
    </row>
    <row r="88" spans="3:12" ht="13.5" x14ac:dyDescent="0.4">
      <c r="C88" s="286" t="s">
        <v>349</v>
      </c>
      <c r="E88" s="346">
        <f t="shared" ref="E88:K88" si="13">E89+E90</f>
        <v>64.210000000000008</v>
      </c>
      <c r="F88" s="346">
        <f t="shared" si="13"/>
        <v>79</v>
      </c>
      <c r="G88" s="346">
        <f t="shared" si="13"/>
        <v>136</v>
      </c>
      <c r="H88" s="346">
        <f t="shared" si="13"/>
        <v>138</v>
      </c>
      <c r="I88" s="346">
        <f t="shared" si="13"/>
        <v>118</v>
      </c>
      <c r="J88" s="346">
        <f t="shared" si="13"/>
        <v>243</v>
      </c>
      <c r="K88" s="346">
        <f t="shared" si="13"/>
        <v>3</v>
      </c>
    </row>
    <row r="89" spans="3:12" ht="13.5" x14ac:dyDescent="0.4">
      <c r="C89" s="286" t="s">
        <v>350</v>
      </c>
      <c r="E89" s="309">
        <f>[2]!s_stm07_is($C$6,"W68538378",E6,1,1000000)</f>
        <v>126.15</v>
      </c>
      <c r="F89" s="309">
        <f>[2]!s_stm07_is($C$6,"W68538378",F6,1,1000000)</f>
        <v>154</v>
      </c>
      <c r="G89" s="309">
        <f>[2]!s_stm07_is($C$6,"W68538378",G6,1,1000000)</f>
        <v>221</v>
      </c>
      <c r="H89" s="309">
        <f>[2]!s_stm07_is($C$6,"W68538378",H6,1,1000000)</f>
        <v>240</v>
      </c>
      <c r="I89" s="309">
        <f>[2]!s_stm07_is($C$6,"W68538378",I6,1,1000000)</f>
        <v>205</v>
      </c>
      <c r="J89" s="309">
        <f>[2]!s_stm07_is($C$6,"W68538378",J6,1,1000000)</f>
        <v>328</v>
      </c>
      <c r="K89" s="309">
        <f>[2]!s_stm07_is($C$6,"W68538378",K6,1,1000000)</f>
        <v>35</v>
      </c>
    </row>
    <row r="90" spans="3:12" ht="13.5" x14ac:dyDescent="0.4">
      <c r="C90" s="347" t="s">
        <v>351</v>
      </c>
      <c r="E90" s="324">
        <f>0-[2]!s_stm07_is($C$6,"W67738435",E6,1,1000000)</f>
        <v>-61.94</v>
      </c>
      <c r="F90" s="324">
        <f>0-[2]!s_stm07_is($C$6,"W67738435",F6,1,1000000)</f>
        <v>-75</v>
      </c>
      <c r="G90" s="324">
        <f>0-[2]!s_stm07_is($C$6,"W67738435",G6,1,1000000)</f>
        <v>-85</v>
      </c>
      <c r="H90" s="324">
        <f>0-[2]!s_stm07_is($C$6,"W67738435",H6,1,1000000)</f>
        <v>-102</v>
      </c>
      <c r="I90" s="324">
        <f>0-[2]!s_stm07_is($C$6,"W67738435",I6,1,1000000)</f>
        <v>-87</v>
      </c>
      <c r="J90" s="324">
        <f>0-[2]!s_stm07_is($C$6,"W67738435",J6,1,1000000)</f>
        <v>-85</v>
      </c>
      <c r="K90" s="324">
        <f>0-[2]!s_stm07_is($C$6,"W67738435",K6,1,1000000)</f>
        <v>-32</v>
      </c>
    </row>
    <row r="91" spans="3:12" ht="13.5" x14ac:dyDescent="0.4">
      <c r="C91" s="348" t="s">
        <v>352</v>
      </c>
      <c r="E91" s="349">
        <f t="shared" ref="E91:I91" si="14">E87+E88</f>
        <v>24211.383999999991</v>
      </c>
      <c r="F91" s="349">
        <f t="shared" si="14"/>
        <v>31590</v>
      </c>
      <c r="G91" s="349">
        <f t="shared" si="14"/>
        <v>34421</v>
      </c>
      <c r="H91" s="349">
        <f t="shared" si="14"/>
        <v>38554</v>
      </c>
      <c r="I91" s="349">
        <f t="shared" si="14"/>
        <v>39358</v>
      </c>
      <c r="J91" s="349">
        <f>J87+J88</f>
        <v>40180</v>
      </c>
      <c r="K91" s="349">
        <f>K87+K88</f>
        <v>11447</v>
      </c>
    </row>
    <row r="92" spans="3:12" ht="13.5" x14ac:dyDescent="0.4">
      <c r="C92" s="286" t="s">
        <v>353</v>
      </c>
      <c r="E92" s="350">
        <f>0-[2]!s_stm07_is($C$6,"W65004312",E6,1,1000000)</f>
        <v>-6126.2619999999997</v>
      </c>
      <c r="F92" s="350">
        <f>0-[2]!s_stm07_is($C$6,"W65004312",F6,1,1000000)</f>
        <v>-7970</v>
      </c>
      <c r="G92" s="350">
        <f>0-[2]!s_stm07_is($C$6,"W65004312",G6,1,1000000)</f>
        <v>-7667</v>
      </c>
      <c r="H92" s="350">
        <f>0-[2]!s_stm07_is($C$6,"W65004312",H6,1,1000000)</f>
        <v>-9626</v>
      </c>
      <c r="I92" s="350">
        <f>0-[2]!s_stm07_is($C$6,"W65004312",I6,1,1000000)</f>
        <v>-9781</v>
      </c>
      <c r="J92" s="350">
        <f>0-[2]!s_stm07_is($C$6,"W65004312",J6,1,1000000)</f>
        <v>-9792</v>
      </c>
      <c r="K92" s="350">
        <f>0-[2]!s_stm07_is($C$6,"W65004312",K6,1,1000000)</f>
        <v>-2848</v>
      </c>
    </row>
    <row r="93" spans="3:12" ht="13.5" x14ac:dyDescent="0.4">
      <c r="C93" s="348" t="s">
        <v>354</v>
      </c>
      <c r="E93" s="349">
        <f t="shared" ref="E93:J93" si="15">E91+E92</f>
        <v>18085.121999999992</v>
      </c>
      <c r="F93" s="349">
        <f t="shared" si="15"/>
        <v>23620</v>
      </c>
      <c r="G93" s="349">
        <f t="shared" si="15"/>
        <v>26754</v>
      </c>
      <c r="H93" s="349">
        <f t="shared" si="15"/>
        <v>28928</v>
      </c>
      <c r="I93" s="349">
        <f t="shared" si="15"/>
        <v>29577</v>
      </c>
      <c r="J93" s="349">
        <f t="shared" si="15"/>
        <v>30388</v>
      </c>
      <c r="K93" s="349">
        <f>K91+K92</f>
        <v>8599</v>
      </c>
    </row>
    <row r="94" spans="3:12" ht="13.5" x14ac:dyDescent="0.4">
      <c r="C94" s="286" t="s">
        <v>355</v>
      </c>
      <c r="E94" s="323">
        <f>[2]!s_stm07_is($C$6,"W66823304",E6,1,1000000)</f>
        <v>18067.887999999999</v>
      </c>
      <c r="F94" s="323">
        <f>[2]!s_stm07_is($C$6,"W66823304",F6,1,1000000)</f>
        <v>23591</v>
      </c>
      <c r="G94" s="323">
        <f>[2]!s_stm07_is($C$6,"W66823304",G6,1,1000000)</f>
        <v>26715</v>
      </c>
      <c r="H94" s="323">
        <f>[2]!s_stm07_is($C$6,"W66823304",H6,1,1000000)</f>
        <v>28883</v>
      </c>
      <c r="I94" s="323">
        <f>[2]!s_stm07_is($C$6,"W66823304",I6,1,1000000)</f>
        <v>29528</v>
      </c>
      <c r="J94" s="323">
        <f>[2]!s_stm07_is($C$6,"W66823304",J6,1,1000000)</f>
        <v>30329</v>
      </c>
      <c r="K94" s="323">
        <f>[2]!s_stm07_is($C$6,"W66823304",K6,1,1000000)</f>
        <v>8579</v>
      </c>
    </row>
    <row r="95" spans="3:12" ht="13.9" thickBot="1" x14ac:dyDescent="0.45">
      <c r="C95" s="342" t="s">
        <v>356</v>
      </c>
      <c r="E95" s="314">
        <f t="shared" ref="E95:J95" si="16">E93-E94</f>
        <v>17.233999999993102</v>
      </c>
      <c r="F95" s="314">
        <f t="shared" si="16"/>
        <v>29</v>
      </c>
      <c r="G95" s="314">
        <f t="shared" si="16"/>
        <v>39</v>
      </c>
      <c r="H95" s="314">
        <f t="shared" si="16"/>
        <v>45</v>
      </c>
      <c r="I95" s="314">
        <f t="shared" si="16"/>
        <v>49</v>
      </c>
      <c r="J95" s="314">
        <f t="shared" si="16"/>
        <v>59</v>
      </c>
      <c r="K95" s="314">
        <f>K93-K94</f>
        <v>20</v>
      </c>
    </row>
    <row r="96" spans="3:12" ht="13.5" x14ac:dyDescent="0.4">
      <c r="C96" s="286" t="s">
        <v>357</v>
      </c>
      <c r="E96" s="351">
        <f>[2]!s_stm07_is($C$6,"W96494239",E6,1,1000000)</f>
        <v>426.94</v>
      </c>
      <c r="F96" s="351">
        <f>[2]!s_stm07_is($C$6,"W96494239",F6,1,1000000)</f>
        <v>-70</v>
      </c>
      <c r="G96" s="351">
        <f>[2]!s_stm07_is($C$6,"W96494239",G6,1,1000000)</f>
        <v>-3535</v>
      </c>
      <c r="H96" s="351">
        <f>[2]!s_stm07_is($C$6,"W96494239",H6,1,1000000)</f>
        <v>4052</v>
      </c>
      <c r="I96" s="351">
        <f>[2]!s_stm07_is($C$6,"W96494239",I6,1,1000000)</f>
        <v>3707</v>
      </c>
      <c r="J96" s="351">
        <f>[2]!s_stm07_is($C$6,"W96494239",J6,1,1000000)</f>
        <v>-3420</v>
      </c>
      <c r="K96" s="351">
        <f>[2]!s_stm07_is($C$6,"W96494239",K6,1,1000000)</f>
        <v>-1095</v>
      </c>
    </row>
    <row r="97" spans="2:11" ht="13.5" x14ac:dyDescent="0.4">
      <c r="C97" s="348" t="s">
        <v>358</v>
      </c>
      <c r="E97" s="330">
        <f t="shared" ref="E97:J97" si="17">E98+E99</f>
        <v>18512.062000000002</v>
      </c>
      <c r="F97" s="330">
        <f t="shared" si="17"/>
        <v>23550</v>
      </c>
      <c r="G97" s="330">
        <f t="shared" si="17"/>
        <v>23219</v>
      </c>
      <c r="H97" s="330">
        <f t="shared" si="17"/>
        <v>32980</v>
      </c>
      <c r="I97" s="330">
        <f t="shared" si="17"/>
        <v>33284</v>
      </c>
      <c r="J97" s="330">
        <f t="shared" si="17"/>
        <v>26968</v>
      </c>
      <c r="K97" s="330">
        <f>K98+K99</f>
        <v>7504</v>
      </c>
    </row>
    <row r="98" spans="2:11" ht="13.5" x14ac:dyDescent="0.4">
      <c r="C98" s="286" t="s">
        <v>359</v>
      </c>
      <c r="E98" s="326">
        <f>[2]!s_stm07_is($C$6,"W62388262",E6,1,1000000)</f>
        <v>18494.828000000001</v>
      </c>
      <c r="F98" s="326">
        <f>[2]!s_stm07_is($C$6,"W62388262",F6,1,1000000)</f>
        <v>23521</v>
      </c>
      <c r="G98" s="326">
        <f>[2]!s_stm07_is($C$6,"W62388262",G6,1,1000000)</f>
        <v>23180</v>
      </c>
      <c r="H98" s="326">
        <f>[2]!s_stm07_is($C$6,"W62388262",H6,1,1000000)</f>
        <v>32935</v>
      </c>
      <c r="I98" s="326">
        <f>[2]!s_stm07_is($C$6,"W62388262",I6,1,1000000)</f>
        <v>33235</v>
      </c>
      <c r="J98" s="326">
        <f>[2]!s_stm07_is($C$6,"W62388262",J6,1,1000000)</f>
        <v>26909</v>
      </c>
      <c r="K98" s="352">
        <f>[2]!s_stm07_is($C$6,"W62388262",K6,1,1000000)</f>
        <v>7484</v>
      </c>
    </row>
    <row r="99" spans="2:11" ht="13.9" thickBot="1" x14ac:dyDescent="0.45">
      <c r="C99" s="342" t="s">
        <v>360</v>
      </c>
      <c r="E99" s="326">
        <f>[2]!s_stm07_is($C$6,"W47116209",E6,1,1000000)</f>
        <v>17.234000000000002</v>
      </c>
      <c r="F99" s="326">
        <f>[2]!s_stm07_is($C$6,"W47116209",F6,1,1000000)</f>
        <v>29</v>
      </c>
      <c r="G99" s="326">
        <f>[2]!s_stm07_is($C$6,"W47116209",G6,1,1000000)</f>
        <v>39</v>
      </c>
      <c r="H99" s="326">
        <f>[2]!s_stm07_is($C$6,"W47116209",H6,1,1000000)</f>
        <v>45</v>
      </c>
      <c r="I99" s="326">
        <f>[2]!s_stm07_is($C$6,"W47116209",I6,1,1000000)</f>
        <v>49</v>
      </c>
      <c r="J99" s="326">
        <f>[2]!s_stm07_is($C$6,"W47116209",J6,1,1000000)</f>
        <v>59</v>
      </c>
      <c r="K99" s="352">
        <f>[2]!s_stm07_is($C$6,"W47116209",K6,1,1000000)</f>
        <v>20</v>
      </c>
    </row>
    <row r="100" spans="2:11" ht="13.5" thickBot="1" x14ac:dyDescent="0.45">
      <c r="E100" s="314">
        <f>E97-E98-E99</f>
        <v>3.765876499528531E-13</v>
      </c>
      <c r="F100" s="314">
        <f t="shared" ref="F100:K100" si="18">F97-F98-F99</f>
        <v>0</v>
      </c>
      <c r="G100" s="314">
        <f t="shared" si="18"/>
        <v>0</v>
      </c>
      <c r="H100" s="314">
        <f t="shared" si="18"/>
        <v>0</v>
      </c>
      <c r="I100" s="314">
        <f t="shared" si="18"/>
        <v>0</v>
      </c>
      <c r="J100" s="314">
        <f t="shared" si="18"/>
        <v>0</v>
      </c>
      <c r="K100" s="314">
        <f t="shared" si="18"/>
        <v>0</v>
      </c>
    </row>
    <row r="101" spans="2:11" ht="13.5" x14ac:dyDescent="0.4">
      <c r="C101" s="353" t="s">
        <v>361</v>
      </c>
      <c r="E101" s="354"/>
      <c r="F101" s="354"/>
      <c r="G101" s="354"/>
      <c r="H101" s="354"/>
      <c r="I101" s="354"/>
      <c r="J101" s="354"/>
      <c r="K101" s="354"/>
    </row>
    <row r="102" spans="2:11" ht="13.5" x14ac:dyDescent="0.4">
      <c r="C102" s="310" t="s">
        <v>362</v>
      </c>
      <c r="E102" s="309">
        <f>[2]!s_stm07_is($C$6,"W88363141",E6,1,1)</f>
        <v>0.45</v>
      </c>
      <c r="F102" s="309">
        <f>[2]!s_stm07_is($C$6,"W88363141",F6,1,1)</f>
        <v>0.57999999999999996</v>
      </c>
      <c r="G102" s="309">
        <f>[2]!s_stm07_is($C$6,"W88363141",G6,1,1)</f>
        <v>0.66</v>
      </c>
      <c r="H102" s="309">
        <f>[2]!s_stm07_is($C$6,"W88363141",H6,1,1)</f>
        <v>0.62</v>
      </c>
      <c r="I102" s="309">
        <f>[2]!s_stm07_is($C$6,"W88363141",I6,1,1)</f>
        <v>0.63</v>
      </c>
      <c r="J102" s="309">
        <f>[2]!s_stm07_is($C$6,"W88363141",J6,1,1)</f>
        <v>0.63</v>
      </c>
      <c r="K102" s="309">
        <f>[2]!s_stm07_is($C$6,"W88363141",K6,1,1)</f>
        <v>0.18</v>
      </c>
    </row>
    <row r="103" spans="2:11" ht="13.9" thickBot="1" x14ac:dyDescent="0.45">
      <c r="C103" s="355" t="s">
        <v>363</v>
      </c>
      <c r="E103" s="343">
        <f>[2]!s_stm07_is($C$6,"W85526134",E6,1,1)</f>
        <v>0.45</v>
      </c>
      <c r="F103" s="343">
        <f>[2]!s_stm07_is($C$6,"W85526134",F6,1,1)</f>
        <v>0.57999999999999996</v>
      </c>
      <c r="G103" s="343">
        <f>[2]!s_stm07_is($C$6,"W85526134",G6,1,1)</f>
        <v>0.66</v>
      </c>
      <c r="H103" s="343">
        <f>[2]!s_stm07_is($C$6,"W85526134",H6,1,1)</f>
        <v>0.62</v>
      </c>
      <c r="I103" s="343">
        <f>[2]!s_stm07_is($C$6,"W85526134",I6,1,1)</f>
        <v>0.63</v>
      </c>
      <c r="J103" s="343">
        <f>[2]!s_stm07_is($C$6,"W85526134",J6,1,1)</f>
        <v>0.63</v>
      </c>
      <c r="K103" s="343">
        <f>[2]!s_stm07_is($C$6,"W85526134",K6,1,1)</f>
        <v>0.18</v>
      </c>
    </row>
    <row r="104" spans="2:11" x14ac:dyDescent="0.4">
      <c r="E104" s="314"/>
      <c r="F104" s="314"/>
      <c r="G104" s="314"/>
      <c r="H104" s="314"/>
      <c r="I104" s="314"/>
      <c r="J104" s="314"/>
      <c r="K104" s="314"/>
    </row>
    <row r="105" spans="2:11" x14ac:dyDescent="0.4">
      <c r="E105" s="314"/>
      <c r="F105" s="314"/>
      <c r="G105" s="314"/>
      <c r="H105" s="314"/>
      <c r="I105" s="314"/>
      <c r="J105" s="314"/>
      <c r="K105" s="314"/>
    </row>
    <row r="106" spans="2:11" ht="13.9" thickBot="1" x14ac:dyDescent="0.45">
      <c r="B106" s="356" t="s">
        <v>364</v>
      </c>
      <c r="C106" s="357"/>
      <c r="E106" s="314"/>
      <c r="F106" s="314"/>
      <c r="G106" s="314"/>
      <c r="H106" s="314"/>
      <c r="I106" s="314"/>
      <c r="J106" s="314"/>
      <c r="K106" s="314"/>
    </row>
    <row r="107" spans="2:11" ht="13.5" x14ac:dyDescent="0.4">
      <c r="B107" s="358"/>
      <c r="C107" s="359" t="s">
        <v>365</v>
      </c>
      <c r="E107" s="354">
        <f t="shared" ref="E107:J107" si="19">E108+E109</f>
        <v>656371.19900000002</v>
      </c>
      <c r="F107" s="354">
        <f t="shared" si="19"/>
        <v>711733</v>
      </c>
      <c r="G107" s="354">
        <f t="shared" si="19"/>
        <v>774938</v>
      </c>
      <c r="H107" s="354">
        <f t="shared" si="19"/>
        <v>841070</v>
      </c>
      <c r="I107" s="354">
        <f t="shared" si="19"/>
        <v>988523</v>
      </c>
      <c r="J107" s="354">
        <f t="shared" si="19"/>
        <v>1132147</v>
      </c>
      <c r="K107" s="354">
        <f>K108+K109</f>
        <v>0</v>
      </c>
    </row>
    <row r="108" spans="2:11" ht="13.5" x14ac:dyDescent="0.4">
      <c r="B108" s="358"/>
      <c r="C108" s="359" t="s">
        <v>366</v>
      </c>
      <c r="E108" s="309">
        <f>[2]!s_stmnote_bank_681($C$6,E6,1,2,1000000)</f>
        <v>641950.05200000003</v>
      </c>
      <c r="F108" s="309">
        <f>[2]!s_stmnote_bank_681($C$6,F6,1,2,1000000)</f>
        <v>699090</v>
      </c>
      <c r="G108" s="309">
        <f>[2]!s_stmnote_bank_681($C$6,G6,1,2,1000000)</f>
        <v>761474</v>
      </c>
      <c r="H108" s="309">
        <f>[2]!s_stmnote_bank_681($C$6,H6,1,2,1000000)</f>
        <v>820139</v>
      </c>
      <c r="I108" s="309">
        <f>[2]!s_stmnote_bank_681($C$6,I6,1,2,1000000)</f>
        <v>917327</v>
      </c>
      <c r="J108" s="309">
        <f>[2]!s_stmnote_bank_681($C$6,J6,1,2,1000000)</f>
        <v>1075974</v>
      </c>
      <c r="K108" s="309">
        <f>[2]!s_stmnote_bank_681($C$6,K6,1,2,1000000)</f>
        <v>0</v>
      </c>
    </row>
    <row r="109" spans="2:11" ht="13.5" x14ac:dyDescent="0.4">
      <c r="B109" s="358"/>
      <c r="C109" s="359" t="s">
        <v>367</v>
      </c>
      <c r="E109" s="309">
        <f>[2]!s_stmnote_bank_683($C$6,E6,1,2,1000000)</f>
        <v>14421.147000000001</v>
      </c>
      <c r="F109" s="309">
        <f>[2]!s_stmnote_bank_683($C$6,F6,1,2,1000000)</f>
        <v>12643</v>
      </c>
      <c r="G109" s="309">
        <f>[2]!s_stmnote_bank_683($C$6,G6,1,2,1000000)</f>
        <v>13464</v>
      </c>
      <c r="H109" s="309">
        <f>[2]!s_stmnote_bank_683($C$6,H6,1,2,1000000)</f>
        <v>20931</v>
      </c>
      <c r="I109" s="309">
        <f>[2]!s_stmnote_bank_683($C$6,I6,1,2,1000000)</f>
        <v>71196</v>
      </c>
      <c r="J109" s="309">
        <f>[2]!s_stmnote_bank_683($C$6,J6,1,2,1000000)</f>
        <v>56173</v>
      </c>
      <c r="K109" s="309">
        <f>[2]!s_stmnote_bank_683($C$6,K6,1,2,1000000)</f>
        <v>0</v>
      </c>
    </row>
    <row r="110" spans="2:11" ht="13.5" x14ac:dyDescent="0.4">
      <c r="B110" s="360"/>
      <c r="C110" s="359" t="s">
        <v>368</v>
      </c>
      <c r="E110" s="309">
        <f>[2]!s_stmnote_bank_682($C$6,E6,1,2,1000000)</f>
        <v>233453.80600000001</v>
      </c>
      <c r="F110" s="309">
        <f>[2]!s_stmnote_bank_682($C$6,F6,1,2,1000000)</f>
        <v>311454</v>
      </c>
      <c r="G110" s="309">
        <f>[2]!s_stmnote_bank_682($C$6,G6,1,2,1000000)</f>
        <v>391372</v>
      </c>
      <c r="H110" s="309">
        <f>[2]!s_stmnote_bank_682($C$6,H6,1,2,1000000)</f>
        <v>458385</v>
      </c>
      <c r="I110" s="309">
        <f>[2]!s_stmnote_bank_682($C$6,I6,1,2,1000000)</f>
        <v>525020</v>
      </c>
      <c r="J110" s="309">
        <f>[2]!s_stmnote_bank_682($C$6,J6,1,2,1000000)</f>
        <v>663131</v>
      </c>
      <c r="K110" s="309">
        <f>[2]!s_stmnote_bank_682($C$6,K6,1,2,1000000)</f>
        <v>0</v>
      </c>
    </row>
    <row r="111" spans="2:11" ht="13.5" x14ac:dyDescent="0.4">
      <c r="B111" s="358"/>
      <c r="C111" s="359" t="s">
        <v>369</v>
      </c>
      <c r="E111" s="309">
        <f>-[2]!s_stmnote_bank_22n($C$6,E6,1,1000000)</f>
        <v>-21042.773000000001</v>
      </c>
      <c r="F111" s="309">
        <f>-[2]!s_stmnote_bank_22n($C$6,F6,1,1000000)</f>
        <v>-25856</v>
      </c>
      <c r="G111" s="309">
        <f>-[2]!s_stmnote_bank_22n($C$6,G6,1,1000000)</f>
        <v>-24172</v>
      </c>
      <c r="H111" s="309">
        <f>-[2]!s_stmnote_bank_22n($C$6,H6,1,1000000)</f>
        <v>-28025</v>
      </c>
      <c r="I111" s="309">
        <f>-[2]!s_stmnote_bank_22n($C$6,I6,1,1000000)</f>
        <v>-38119</v>
      </c>
      <c r="J111" s="309">
        <f>-[2]!s_stmnote_bank_22n($C$6,J6,1,1000000)</f>
        <v>-43634</v>
      </c>
      <c r="K111" s="309">
        <f>-[2]!s_stmnote_bank_22n($C$6,K6,1,1000000)</f>
        <v>0</v>
      </c>
    </row>
    <row r="112" spans="2:11" ht="13.5" x14ac:dyDescent="0.4">
      <c r="B112" s="361"/>
      <c r="C112" s="362" t="s">
        <v>370</v>
      </c>
      <c r="E112" s="363">
        <f t="shared" ref="E112:I112" si="20">E113-E111</f>
        <v>889825.005</v>
      </c>
      <c r="F112" s="363">
        <f t="shared" si="20"/>
        <v>1023187</v>
      </c>
      <c r="G112" s="363">
        <f t="shared" si="20"/>
        <v>1166310</v>
      </c>
      <c r="H112" s="363">
        <f t="shared" si="20"/>
        <v>1299455</v>
      </c>
      <c r="I112" s="363">
        <f t="shared" si="20"/>
        <v>1513543</v>
      </c>
      <c r="J112" s="363">
        <f>J113-J111</f>
        <v>1795278</v>
      </c>
      <c r="K112" s="363"/>
    </row>
    <row r="113" spans="2:11" ht="13.9" thickBot="1" x14ac:dyDescent="0.45">
      <c r="B113" s="361"/>
      <c r="C113" s="364" t="s">
        <v>371</v>
      </c>
      <c r="E113" s="332">
        <f t="shared" ref="E113:K113" si="21">E18</f>
        <v>868782.23199999996</v>
      </c>
      <c r="F113" s="332">
        <f t="shared" si="21"/>
        <v>997331</v>
      </c>
      <c r="G113" s="332">
        <f t="shared" si="21"/>
        <v>1142138</v>
      </c>
      <c r="H113" s="332">
        <f t="shared" si="21"/>
        <v>1271430</v>
      </c>
      <c r="I113" s="332">
        <f t="shared" si="21"/>
        <v>1475424</v>
      </c>
      <c r="J113" s="332">
        <f t="shared" si="21"/>
        <v>1751644</v>
      </c>
      <c r="K113" s="332">
        <f t="shared" si="21"/>
        <v>1850311</v>
      </c>
    </row>
    <row r="114" spans="2:11" s="334" customFormat="1" ht="13.5" x14ac:dyDescent="0.4">
      <c r="C114" s="333" t="s">
        <v>328</v>
      </c>
      <c r="E114" s="335">
        <f t="shared" ref="E114:J114" si="22">IF(E108=0,0,E112-E107-E110)</f>
        <v>-2.9103830456733704E-11</v>
      </c>
      <c r="F114" s="335">
        <f t="shared" si="22"/>
        <v>0</v>
      </c>
      <c r="G114" s="335">
        <f t="shared" si="22"/>
        <v>0</v>
      </c>
      <c r="H114" s="335">
        <f t="shared" si="22"/>
        <v>0</v>
      </c>
      <c r="I114" s="335">
        <f t="shared" si="22"/>
        <v>0</v>
      </c>
      <c r="J114" s="335">
        <f t="shared" si="22"/>
        <v>0</v>
      </c>
      <c r="K114" s="335">
        <f>IF(K108=0,0,K112-K107-K110)</f>
        <v>0</v>
      </c>
    </row>
    <row r="115" spans="2:11" x14ac:dyDescent="0.4">
      <c r="E115" s="314"/>
      <c r="F115" s="314"/>
      <c r="G115" s="314"/>
      <c r="H115" s="314"/>
      <c r="I115" s="314"/>
      <c r="J115" s="314"/>
      <c r="K115" s="314"/>
    </row>
    <row r="116" spans="2:11" x14ac:dyDescent="0.4">
      <c r="E116" s="314"/>
      <c r="F116" s="314"/>
      <c r="G116" s="314"/>
      <c r="H116" s="314"/>
      <c r="I116" s="314"/>
      <c r="J116" s="314"/>
      <c r="K116" s="314"/>
    </row>
    <row r="117" spans="2:11" ht="13.9" thickBot="1" x14ac:dyDescent="0.45">
      <c r="B117" s="356" t="s">
        <v>372</v>
      </c>
      <c r="C117" s="365"/>
      <c r="E117" s="314"/>
      <c r="F117" s="314"/>
      <c r="G117" s="314"/>
      <c r="H117" s="314"/>
      <c r="I117" s="314"/>
      <c r="J117" s="314"/>
      <c r="K117" s="314"/>
    </row>
    <row r="118" spans="2:11" ht="13.5" x14ac:dyDescent="0.4">
      <c r="B118" s="360"/>
      <c r="C118" s="359" t="s">
        <v>373</v>
      </c>
      <c r="E118" s="354">
        <f t="shared" ref="E118:J118" si="23">E119+E120</f>
        <v>520257</v>
      </c>
      <c r="F118" s="354">
        <f t="shared" si="23"/>
        <v>601497</v>
      </c>
      <c r="G118" s="354">
        <f t="shared" si="23"/>
        <v>539042</v>
      </c>
      <c r="H118" s="354">
        <f t="shared" si="23"/>
        <v>606356</v>
      </c>
      <c r="I118" s="354">
        <f t="shared" si="23"/>
        <v>661490</v>
      </c>
      <c r="J118" s="354">
        <f t="shared" si="23"/>
        <v>840616</v>
      </c>
      <c r="K118" s="354"/>
    </row>
    <row r="119" spans="2:11" ht="13.5" x14ac:dyDescent="0.4">
      <c r="B119" s="360"/>
      <c r="C119" s="359" t="s">
        <v>374</v>
      </c>
      <c r="E119" s="309">
        <f>[2]!s_stmnote_bank_614($C$6,E6,1,2,1000000)</f>
        <v>441296</v>
      </c>
      <c r="F119" s="309">
        <f>[2]!s_stmnote_bank_614($C$6,F6,1,2,1000000)</f>
        <v>443377</v>
      </c>
      <c r="G119" s="309">
        <f>[2]!s_stmnote_bank_614($C$6,G6,1,2,1000000)</f>
        <v>434902</v>
      </c>
      <c r="H119" s="309">
        <f>[2]!s_stmnote_bank_614($C$6,H6,1,2,1000000)</f>
        <v>486562</v>
      </c>
      <c r="I119" s="309">
        <f>[2]!s_stmnote_bank_614($C$6,I6,1,2,1000000)</f>
        <v>515929</v>
      </c>
      <c r="J119" s="309">
        <f>[2]!s_stmnote_bank_614($C$6,J6,1,2,1000000)</f>
        <v>656760</v>
      </c>
      <c r="K119" s="309">
        <f>[2]!s_stmnote_bank_614($C$6,K6,1,2,1000000)</f>
        <v>0</v>
      </c>
    </row>
    <row r="120" spans="2:11" ht="13.5" x14ac:dyDescent="0.4">
      <c r="B120" s="360"/>
      <c r="C120" s="359" t="s">
        <v>375</v>
      </c>
      <c r="E120" s="309">
        <f>[2]!s_stmnote_bank_612($C$6,E6,1,2,1000000)</f>
        <v>78961</v>
      </c>
      <c r="F120" s="309">
        <f>[2]!s_stmnote_bank_612($C$6,F6,1,2,1000000)</f>
        <v>158120</v>
      </c>
      <c r="G120" s="309">
        <f>[2]!s_stmnote_bank_612($C$6,G6,1,2,1000000)</f>
        <v>104140</v>
      </c>
      <c r="H120" s="309">
        <f>[2]!s_stmnote_bank_612($C$6,H6,1,2,1000000)</f>
        <v>119794</v>
      </c>
      <c r="I120" s="309">
        <f>[2]!s_stmnote_bank_612($C$6,I6,1,2,1000000)</f>
        <v>145561</v>
      </c>
      <c r="J120" s="309">
        <f>[2]!s_stmnote_bank_612($C$6,J6,1,2,1000000)</f>
        <v>183856</v>
      </c>
      <c r="K120" s="309">
        <f>[2]!s_stmnote_bank_612($C$6,K6,1,2,1000000)</f>
        <v>0</v>
      </c>
    </row>
    <row r="121" spans="2:11" ht="13.5" x14ac:dyDescent="0.4">
      <c r="B121" s="366"/>
      <c r="C121" s="359" t="s">
        <v>376</v>
      </c>
      <c r="E121" s="367">
        <f t="shared" ref="E121:J121" si="24">E122+E123</f>
        <v>705021</v>
      </c>
      <c r="F121" s="367">
        <f t="shared" si="24"/>
        <v>825444</v>
      </c>
      <c r="G121" s="367">
        <f t="shared" si="24"/>
        <v>974821</v>
      </c>
      <c r="H121" s="367">
        <f t="shared" si="24"/>
        <v>1106655</v>
      </c>
      <c r="I121" s="367">
        <f t="shared" si="24"/>
        <v>1221688</v>
      </c>
      <c r="J121" s="367">
        <f t="shared" si="24"/>
        <v>1172244</v>
      </c>
      <c r="K121" s="367"/>
    </row>
    <row r="122" spans="2:11" ht="13.5" x14ac:dyDescent="0.4">
      <c r="B122" s="366"/>
      <c r="C122" s="359" t="s">
        <v>374</v>
      </c>
      <c r="E122" s="309">
        <f>[2]!s_stmnote_bank_613($C$6,E6,1,2,1000000)</f>
        <v>548472</v>
      </c>
      <c r="F122" s="309">
        <f>[2]!s_stmnote_bank_613($C$6,F6,1,2,1000000)</f>
        <v>669551</v>
      </c>
      <c r="G122" s="309">
        <f>[2]!s_stmnote_bank_613($C$6,G6,1,2,1000000)</f>
        <v>768315</v>
      </c>
      <c r="H122" s="309">
        <f>[2]!s_stmnote_bank_613($C$6,H6,1,2,1000000)</f>
        <v>881295</v>
      </c>
      <c r="I122" s="309">
        <f>[2]!s_stmnote_bank_613($C$6,I6,1,2,1000000)</f>
        <v>1028124</v>
      </c>
      <c r="J122" s="309">
        <f>[2]!s_stmnote_bank_613($C$6,J6,1,2,1000000)</f>
        <v>996440</v>
      </c>
      <c r="K122" s="309">
        <f>[2]!s_stmnote_bank_613($C$6,K6,1,2,1000000)</f>
        <v>0</v>
      </c>
    </row>
    <row r="123" spans="2:11" ht="13.5" x14ac:dyDescent="0.4">
      <c r="B123" s="366"/>
      <c r="C123" s="359" t="s">
        <v>375</v>
      </c>
      <c r="E123" s="309">
        <f>[2]!s_stmnote_bank_611($C$6,E6,1,2,1000000)</f>
        <v>156549</v>
      </c>
      <c r="F123" s="309">
        <f>[2]!s_stmnote_bank_611($C$6,F6,1,2,1000000)</f>
        <v>155893</v>
      </c>
      <c r="G123" s="309">
        <f>[2]!s_stmnote_bank_611($C$6,G6,1,2,1000000)</f>
        <v>206506</v>
      </c>
      <c r="H123" s="309">
        <f>[2]!s_stmnote_bank_611($C$6,H6,1,2,1000000)</f>
        <v>225360</v>
      </c>
      <c r="I123" s="309">
        <f>[2]!s_stmnote_bank_611($C$6,I6,1,2,1000000)</f>
        <v>193564</v>
      </c>
      <c r="J123" s="309">
        <f>[2]!s_stmnote_bank_611($C$6,J6,1,2,1000000)</f>
        <v>175804</v>
      </c>
      <c r="K123" s="309">
        <f>[2]!s_stmnote_bank_611($C$6,K6,1,2,1000000)</f>
        <v>0</v>
      </c>
    </row>
    <row r="124" spans="2:11" ht="13.5" x14ac:dyDescent="0.4">
      <c r="B124" s="366"/>
      <c r="C124" s="359" t="s">
        <v>377</v>
      </c>
      <c r="E124" s="328">
        <f>[2]!s_stmnote_bank_615($C$6,E6,1,2,1000000)</f>
        <v>0</v>
      </c>
      <c r="F124" s="328">
        <f>[2]!s_stmnote_bank_615($C$6,F6,1,2,1000000)</f>
        <v>0</v>
      </c>
      <c r="G124" s="328">
        <f>[2]!s_stmnote_bank_615($C$6,G6,1,2,1000000)</f>
        <v>91415</v>
      </c>
      <c r="H124" s="328">
        <f>[2]!s_stmnote_bank_615($C$6,H6,1,2,1000000)</f>
        <v>72326</v>
      </c>
      <c r="I124" s="328">
        <f>[2]!s_stmnote_bank_615($C$6,I6,1,2,1000000)</f>
        <v>110665</v>
      </c>
      <c r="J124" s="328">
        <v>108027</v>
      </c>
      <c r="K124" s="328">
        <f>[2]!s_stmnote_bank_615($C$6,K6,1,2,1000000)</f>
        <v>0</v>
      </c>
    </row>
    <row r="125" spans="2:11" ht="13.5" x14ac:dyDescent="0.4">
      <c r="B125" s="366"/>
      <c r="C125" s="368" t="s">
        <v>378</v>
      </c>
      <c r="E125" s="314">
        <f t="shared" ref="E125:J126" si="25">E119+E122</f>
        <v>989768</v>
      </c>
      <c r="F125" s="314">
        <f t="shared" si="25"/>
        <v>1112928</v>
      </c>
      <c r="G125" s="314">
        <f t="shared" si="25"/>
        <v>1203217</v>
      </c>
      <c r="H125" s="314">
        <f t="shared" si="25"/>
        <v>1367857</v>
      </c>
      <c r="I125" s="314">
        <f t="shared" si="25"/>
        <v>1544053</v>
      </c>
      <c r="J125" s="314">
        <f t="shared" si="25"/>
        <v>1653200</v>
      </c>
      <c r="K125" s="314"/>
    </row>
    <row r="126" spans="2:11" ht="13.5" x14ac:dyDescent="0.4">
      <c r="B126" s="366"/>
      <c r="C126" s="359" t="s">
        <v>379</v>
      </c>
      <c r="E126" s="314">
        <f t="shared" si="25"/>
        <v>235510</v>
      </c>
      <c r="F126" s="314">
        <f t="shared" si="25"/>
        <v>314013</v>
      </c>
      <c r="G126" s="314">
        <f t="shared" si="25"/>
        <v>310646</v>
      </c>
      <c r="H126" s="314">
        <f t="shared" si="25"/>
        <v>345154</v>
      </c>
      <c r="I126" s="314">
        <f t="shared" si="25"/>
        <v>339125</v>
      </c>
      <c r="J126" s="314">
        <f t="shared" si="25"/>
        <v>359660</v>
      </c>
      <c r="K126" s="314"/>
    </row>
    <row r="127" spans="2:11" ht="13.9" thickBot="1" x14ac:dyDescent="0.45">
      <c r="B127" s="366"/>
      <c r="C127" s="369" t="s">
        <v>380</v>
      </c>
      <c r="E127" s="332">
        <f t="shared" ref="E127:K127" si="26">E40</f>
        <v>1178800.3289999999</v>
      </c>
      <c r="F127" s="332">
        <f t="shared" si="26"/>
        <v>1426941</v>
      </c>
      <c r="G127" s="332">
        <f t="shared" si="26"/>
        <v>1605278</v>
      </c>
      <c r="H127" s="332">
        <f t="shared" si="26"/>
        <v>1785337</v>
      </c>
      <c r="I127" s="332">
        <f t="shared" si="26"/>
        <v>1993843</v>
      </c>
      <c r="J127" s="332">
        <f t="shared" si="26"/>
        <v>2120887</v>
      </c>
      <c r="K127" s="332">
        <f t="shared" si="26"/>
        <v>2243298</v>
      </c>
    </row>
    <row r="128" spans="2:11" s="334" customFormat="1" ht="13.5" x14ac:dyDescent="0.4">
      <c r="B128" s="370"/>
      <c r="C128" s="333" t="s">
        <v>328</v>
      </c>
      <c r="E128" s="335">
        <f>IF(E119=0,0,E127-E118-E121-E124)</f>
        <v>-46477.671000000089</v>
      </c>
      <c r="F128" s="335">
        <f t="shared" ref="F128:K128" si="27">IF(F119=0,0,F127-F118-F121-F124)</f>
        <v>0</v>
      </c>
      <c r="G128" s="335">
        <f t="shared" si="27"/>
        <v>0</v>
      </c>
      <c r="H128" s="335">
        <f t="shared" si="27"/>
        <v>0</v>
      </c>
      <c r="I128" s="335">
        <f t="shared" si="27"/>
        <v>0</v>
      </c>
      <c r="J128" s="335">
        <f>IF(J119=0,0,J127-J118-J121-J124)</f>
        <v>0</v>
      </c>
      <c r="K128" s="335">
        <f t="shared" si="27"/>
        <v>0</v>
      </c>
    </row>
    <row r="129" spans="2:11" x14ac:dyDescent="0.4">
      <c r="B129" s="366"/>
      <c r="C129" s="366"/>
      <c r="E129" s="314"/>
      <c r="F129" s="314"/>
      <c r="G129" s="314"/>
      <c r="H129" s="314"/>
      <c r="I129" s="314"/>
      <c r="J129" s="314"/>
      <c r="K129" s="314"/>
    </row>
    <row r="130" spans="2:11" x14ac:dyDescent="0.4">
      <c r="E130" s="314"/>
      <c r="F130" s="314"/>
      <c r="G130" s="314"/>
      <c r="H130" s="314"/>
      <c r="I130" s="314"/>
      <c r="J130" s="314"/>
      <c r="K130" s="314"/>
    </row>
    <row r="131" spans="2:11" ht="13.5" x14ac:dyDescent="0.4">
      <c r="B131" s="356" t="s">
        <v>381</v>
      </c>
      <c r="E131" s="314"/>
      <c r="F131" s="314"/>
      <c r="G131" s="314"/>
      <c r="H131" s="314"/>
      <c r="I131" s="314"/>
      <c r="J131" s="314"/>
      <c r="K131" s="314"/>
    </row>
    <row r="132" spans="2:11" ht="13.5" thickBot="1" x14ac:dyDescent="0.45">
      <c r="B132" s="371"/>
      <c r="C132" s="301"/>
      <c r="E132" s="314">
        <f t="shared" ref="E132:F132" si="28">SUM(E134,E139,E144,E145)</f>
        <v>1581800</v>
      </c>
      <c r="F132" s="314">
        <f t="shared" si="28"/>
        <v>1966972</v>
      </c>
      <c r="G132" s="314">
        <f>SUM(G134,G139,G144,G145)</f>
        <v>2354888</v>
      </c>
      <c r="H132" s="314">
        <f t="shared" ref="H132:I132" si="29">SUM(H134,H139,H144,H145)</f>
        <v>2528762</v>
      </c>
      <c r="I132" s="314">
        <f t="shared" si="29"/>
        <v>2949241</v>
      </c>
      <c r="J132" s="314">
        <f>SUM(J134,J139,J144,J145)</f>
        <v>3658902</v>
      </c>
      <c r="K132" s="314"/>
    </row>
    <row r="133" spans="2:11" ht="13.5" x14ac:dyDescent="0.4">
      <c r="B133" s="372"/>
      <c r="C133" s="373" t="s">
        <v>382</v>
      </c>
      <c r="E133" s="374">
        <v>1581800</v>
      </c>
      <c r="F133" s="374">
        <v>1966972</v>
      </c>
      <c r="G133" s="374">
        <v>2354888</v>
      </c>
      <c r="H133" s="374">
        <v>2528762</v>
      </c>
      <c r="I133" s="374">
        <v>2949241</v>
      </c>
      <c r="J133" s="374">
        <v>3658902</v>
      </c>
      <c r="K133" s="374">
        <f>[2]!s_stmnote_bank_57($C$6,K6,1,1000000)</f>
        <v>0</v>
      </c>
    </row>
    <row r="134" spans="2:11" ht="13.5" x14ac:dyDescent="0.4">
      <c r="B134" s="372"/>
      <c r="C134" s="375" t="s">
        <v>383</v>
      </c>
      <c r="E134" s="376">
        <v>849126</v>
      </c>
      <c r="F134" s="376">
        <v>983834</v>
      </c>
      <c r="G134" s="376">
        <v>1128800</v>
      </c>
      <c r="H134" s="376">
        <v>1268646</v>
      </c>
      <c r="I134" s="376">
        <v>1455886</v>
      </c>
      <c r="J134" s="376">
        <v>1751843</v>
      </c>
      <c r="K134" s="376"/>
    </row>
    <row r="135" spans="2:11" ht="13.5" x14ac:dyDescent="0.4">
      <c r="B135" s="360"/>
      <c r="C135" s="377" t="s">
        <v>365</v>
      </c>
      <c r="E135" s="323"/>
      <c r="F135" s="323"/>
      <c r="G135" s="323"/>
      <c r="H135" s="323"/>
      <c r="I135" s="323"/>
      <c r="J135" s="323"/>
      <c r="K135" s="323"/>
    </row>
    <row r="136" spans="2:11" ht="13.5" x14ac:dyDescent="0.4">
      <c r="B136" s="360"/>
      <c r="C136" s="377" t="s">
        <v>384</v>
      </c>
      <c r="E136" s="309"/>
      <c r="F136" s="309"/>
      <c r="G136" s="309"/>
      <c r="H136" s="309"/>
      <c r="I136" s="309"/>
      <c r="J136" s="309"/>
      <c r="K136" s="309">
        <f>[2]!s_stmnote_bank_711($C$6,K6,1,2,1000000)</f>
        <v>0</v>
      </c>
    </row>
    <row r="137" spans="2:11" ht="13.5" x14ac:dyDescent="0.4">
      <c r="B137" s="371"/>
      <c r="C137" s="377" t="s">
        <v>385</v>
      </c>
      <c r="E137" s="309"/>
      <c r="F137" s="309"/>
      <c r="G137" s="309"/>
      <c r="H137" s="309"/>
      <c r="I137" s="309"/>
      <c r="J137" s="309"/>
      <c r="K137" s="309">
        <f>[2]!s_stmnote_bank_713($C$6,K6,1,2,1000000)</f>
        <v>0</v>
      </c>
    </row>
    <row r="138" spans="2:11" ht="13.5" x14ac:dyDescent="0.4">
      <c r="B138" s="371"/>
      <c r="C138" s="378" t="s">
        <v>386</v>
      </c>
      <c r="E138" s="324"/>
      <c r="F138" s="324"/>
      <c r="G138" s="324"/>
      <c r="H138" s="324"/>
      <c r="I138" s="324"/>
      <c r="J138" s="324"/>
      <c r="K138" s="324">
        <f>[2]!s_stmnote_bank_712($C$6,K6,1,2,1000000)</f>
        <v>0</v>
      </c>
    </row>
    <row r="139" spans="2:11" ht="13.5" x14ac:dyDescent="0.4">
      <c r="B139" s="371"/>
      <c r="C139" s="379" t="s">
        <v>387</v>
      </c>
      <c r="E139" s="380">
        <v>210928</v>
      </c>
      <c r="F139" s="380">
        <v>295557</v>
      </c>
      <c r="G139" s="380">
        <v>548717</v>
      </c>
      <c r="H139" s="380">
        <v>565889</v>
      </c>
      <c r="I139" s="380">
        <v>773425</v>
      </c>
      <c r="J139" s="380">
        <v>1155338</v>
      </c>
      <c r="K139" s="380"/>
    </row>
    <row r="140" spans="2:11" ht="13.5" x14ac:dyDescent="0.4">
      <c r="B140" s="371"/>
      <c r="C140" s="377" t="s">
        <v>388</v>
      </c>
      <c r="E140" s="309"/>
      <c r="F140" s="309"/>
      <c r="G140" s="309"/>
      <c r="H140" s="309"/>
      <c r="I140" s="309"/>
      <c r="J140" s="309"/>
      <c r="K140" s="309"/>
    </row>
    <row r="141" spans="2:11" ht="13.5" x14ac:dyDescent="0.4">
      <c r="B141" s="371"/>
      <c r="C141" s="377" t="s">
        <v>389</v>
      </c>
      <c r="E141" s="309"/>
      <c r="F141" s="309"/>
      <c r="G141" s="309"/>
      <c r="H141" s="309"/>
      <c r="I141" s="309"/>
      <c r="J141" s="309"/>
      <c r="K141" s="309"/>
    </row>
    <row r="142" spans="2:11" ht="13.5" x14ac:dyDescent="0.4">
      <c r="B142" s="371"/>
      <c r="C142" s="381" t="s">
        <v>390</v>
      </c>
      <c r="E142" s="309"/>
      <c r="F142" s="309"/>
      <c r="G142" s="309"/>
      <c r="H142" s="309"/>
      <c r="I142" s="309"/>
      <c r="J142" s="309"/>
      <c r="K142" s="309"/>
    </row>
    <row r="143" spans="2:11" ht="13.5" x14ac:dyDescent="0.4">
      <c r="B143" s="371"/>
      <c r="C143" s="378" t="s">
        <v>391</v>
      </c>
      <c r="E143" s="328"/>
      <c r="F143" s="328"/>
      <c r="G143" s="328"/>
      <c r="H143" s="328"/>
      <c r="I143" s="328"/>
      <c r="J143" s="328"/>
      <c r="K143" s="328"/>
    </row>
    <row r="144" spans="2:11" ht="13.5" x14ac:dyDescent="0.4">
      <c r="B144" s="371"/>
      <c r="C144" s="379" t="s">
        <v>392</v>
      </c>
      <c r="E144" s="382">
        <v>209141</v>
      </c>
      <c r="F144" s="382">
        <v>262644</v>
      </c>
      <c r="G144" s="382">
        <v>304775</v>
      </c>
      <c r="H144" s="382">
        <v>334135</v>
      </c>
      <c r="I144" s="382">
        <v>342443</v>
      </c>
      <c r="J144" s="382">
        <v>356866</v>
      </c>
      <c r="K144" s="382"/>
    </row>
    <row r="145" spans="2:11" ht="13.5" x14ac:dyDescent="0.4">
      <c r="B145" s="371"/>
      <c r="C145" s="375" t="s">
        <v>393</v>
      </c>
      <c r="E145" s="380">
        <v>312605</v>
      </c>
      <c r="F145" s="380">
        <v>424937</v>
      </c>
      <c r="G145" s="380">
        <v>372596</v>
      </c>
      <c r="H145" s="380">
        <v>360092</v>
      </c>
      <c r="I145" s="380">
        <v>377487</v>
      </c>
      <c r="J145" s="380">
        <v>394855</v>
      </c>
      <c r="K145" s="380"/>
    </row>
    <row r="146" spans="2:11" ht="13.5" x14ac:dyDescent="0.4">
      <c r="B146" s="371"/>
      <c r="C146" s="377" t="s">
        <v>394</v>
      </c>
      <c r="E146" s="323"/>
      <c r="F146" s="323"/>
      <c r="G146" s="323"/>
      <c r="H146" s="323"/>
      <c r="I146" s="323"/>
      <c r="J146" s="323"/>
      <c r="K146" s="323"/>
    </row>
    <row r="147" spans="2:11" ht="13.5" x14ac:dyDescent="0.4">
      <c r="B147" s="371"/>
      <c r="C147" s="377" t="s">
        <v>280</v>
      </c>
      <c r="E147" s="309"/>
      <c r="F147" s="309"/>
      <c r="G147" s="309"/>
      <c r="H147" s="309"/>
      <c r="I147" s="309"/>
      <c r="J147" s="309"/>
      <c r="K147" s="309"/>
    </row>
    <row r="148" spans="2:11" ht="13.5" x14ac:dyDescent="0.4">
      <c r="B148" s="371"/>
      <c r="C148" s="378" t="s">
        <v>395</v>
      </c>
      <c r="E148" s="324"/>
      <c r="F148" s="324"/>
      <c r="G148" s="324"/>
      <c r="H148" s="324"/>
      <c r="I148" s="324"/>
      <c r="J148" s="324"/>
      <c r="K148" s="324"/>
    </row>
    <row r="149" spans="2:11" ht="13.9" thickBot="1" x14ac:dyDescent="0.45">
      <c r="B149" s="371"/>
      <c r="C149" s="383" t="s">
        <v>396</v>
      </c>
      <c r="E149" s="313"/>
      <c r="F149" s="313"/>
      <c r="G149" s="313"/>
      <c r="H149" s="313"/>
      <c r="I149" s="313"/>
      <c r="J149" s="313"/>
      <c r="K149" s="313"/>
    </row>
    <row r="150" spans="2:11" x14ac:dyDescent="0.4">
      <c r="B150" s="371"/>
      <c r="C150" s="366"/>
      <c r="E150" s="314"/>
      <c r="F150" s="314"/>
      <c r="G150" s="314"/>
      <c r="H150" s="314"/>
      <c r="I150" s="314"/>
      <c r="J150" s="314"/>
      <c r="K150" s="314"/>
    </row>
    <row r="151" spans="2:11" ht="13.5" thickBot="1" x14ac:dyDescent="0.45">
      <c r="B151" s="381"/>
      <c r="C151" s="384"/>
      <c r="E151" s="314"/>
      <c r="F151" s="314"/>
      <c r="G151" s="314"/>
      <c r="H151" s="314"/>
      <c r="I151" s="314"/>
      <c r="J151" s="314"/>
      <c r="K151" s="314"/>
    </row>
    <row r="152" spans="2:11" ht="13.5" x14ac:dyDescent="0.4">
      <c r="B152" s="371"/>
      <c r="C152" s="385" t="s">
        <v>397</v>
      </c>
      <c r="E152" s="386">
        <v>1464990</v>
      </c>
      <c r="F152" s="386">
        <v>1830598</v>
      </c>
      <c r="G152" s="386">
        <v>2201188</v>
      </c>
      <c r="H152" s="386">
        <v>2332517</v>
      </c>
      <c r="I152" s="386">
        <v>2697768</v>
      </c>
      <c r="J152" s="386">
        <v>3352365</v>
      </c>
      <c r="K152" s="386">
        <f>[2]!s_stmnote_bank_59($C$6,K6,1,1000000)</f>
        <v>0</v>
      </c>
    </row>
    <row r="153" spans="2:11" ht="13.5" x14ac:dyDescent="0.4">
      <c r="B153" s="371"/>
      <c r="C153" s="375" t="s">
        <v>398</v>
      </c>
      <c r="E153" s="376">
        <v>1115498</v>
      </c>
      <c r="F153" s="376">
        <v>1283275</v>
      </c>
      <c r="G153" s="376">
        <v>1497953</v>
      </c>
      <c r="H153" s="376">
        <v>1684370</v>
      </c>
      <c r="I153" s="376">
        <v>1874760</v>
      </c>
      <c r="J153" s="376">
        <v>2091143</v>
      </c>
      <c r="K153" s="376"/>
    </row>
    <row r="154" spans="2:11" ht="13.5" x14ac:dyDescent="0.4">
      <c r="B154" s="371"/>
      <c r="C154" s="377" t="s">
        <v>373</v>
      </c>
      <c r="E154" s="314"/>
      <c r="F154" s="314"/>
      <c r="G154" s="314"/>
      <c r="H154" s="314"/>
      <c r="I154" s="314"/>
      <c r="J154" s="314"/>
      <c r="K154" s="314">
        <f t="shared" ref="K154" si="30">K155+K156</f>
        <v>0</v>
      </c>
    </row>
    <row r="155" spans="2:11" ht="13.5" x14ac:dyDescent="0.4">
      <c r="B155" s="371"/>
      <c r="C155" s="377" t="s">
        <v>399</v>
      </c>
      <c r="E155" s="309"/>
      <c r="F155" s="309"/>
      <c r="G155" s="309"/>
      <c r="H155" s="309"/>
      <c r="I155" s="309"/>
      <c r="J155" s="309"/>
      <c r="K155" s="309">
        <f>[2]!s_stmnote_bank_624($C$6,K6,1,2,1000000)</f>
        <v>0</v>
      </c>
    </row>
    <row r="156" spans="2:11" ht="13.5" x14ac:dyDescent="0.4">
      <c r="B156" s="371"/>
      <c r="C156" s="377" t="s">
        <v>400</v>
      </c>
      <c r="E156" s="309"/>
      <c r="F156" s="309"/>
      <c r="G156" s="309"/>
      <c r="H156" s="309"/>
      <c r="I156" s="309"/>
      <c r="J156" s="309"/>
      <c r="K156" s="309">
        <f>[2]!s_stmnote_bank_622($C$6,K6,1,2,1000000)</f>
        <v>0</v>
      </c>
    </row>
    <row r="157" spans="2:11" ht="13.5" x14ac:dyDescent="0.4">
      <c r="B157" s="371"/>
      <c r="C157" s="377" t="s">
        <v>376</v>
      </c>
      <c r="E157" s="387"/>
      <c r="F157" s="387"/>
      <c r="G157" s="387"/>
      <c r="H157" s="387"/>
      <c r="I157" s="387"/>
      <c r="J157" s="387"/>
      <c r="K157" s="387">
        <f t="shared" ref="K157" si="31">K158+K159</f>
        <v>0</v>
      </c>
    </row>
    <row r="158" spans="2:11" ht="13.5" x14ac:dyDescent="0.4">
      <c r="B158" s="371"/>
      <c r="C158" s="377" t="s">
        <v>401</v>
      </c>
      <c r="E158" s="309"/>
      <c r="F158" s="309"/>
      <c r="G158" s="309"/>
      <c r="H158" s="309"/>
      <c r="I158" s="309"/>
      <c r="J158" s="309"/>
      <c r="K158" s="309">
        <f>[2]!s_stmnote_bank_623($C$6,K6,1,2,1000000)</f>
        <v>0</v>
      </c>
    </row>
    <row r="159" spans="2:11" ht="13.5" x14ac:dyDescent="0.4">
      <c r="B159" s="371"/>
      <c r="C159" s="377" t="s">
        <v>402</v>
      </c>
      <c r="E159" s="309"/>
      <c r="F159" s="309"/>
      <c r="G159" s="309"/>
      <c r="H159" s="309"/>
      <c r="I159" s="309"/>
      <c r="J159" s="309"/>
      <c r="K159" s="309">
        <f>[2]!s_stmnote_bank_621($C$6,K6,1,2,1000000)</f>
        <v>0</v>
      </c>
    </row>
    <row r="160" spans="2:11" ht="13.5" x14ac:dyDescent="0.4">
      <c r="B160" s="371"/>
      <c r="C160" s="378" t="s">
        <v>403</v>
      </c>
      <c r="E160" s="324"/>
      <c r="F160" s="324"/>
      <c r="G160" s="324"/>
      <c r="H160" s="324"/>
      <c r="I160" s="324"/>
      <c r="J160" s="324"/>
      <c r="K160" s="324">
        <f>[2]!s_stmnote_bank_625($C$6,K6,1,2,1000000)</f>
        <v>0</v>
      </c>
    </row>
    <row r="161" spans="2:11" ht="13.5" x14ac:dyDescent="0.4">
      <c r="B161" s="371"/>
      <c r="C161" s="379" t="s">
        <v>404</v>
      </c>
      <c r="E161" s="376">
        <v>16000</v>
      </c>
      <c r="F161" s="376">
        <v>42576</v>
      </c>
      <c r="G161" s="376">
        <v>47849</v>
      </c>
      <c r="H161" s="376">
        <v>56611</v>
      </c>
      <c r="I161" s="376">
        <v>154641</v>
      </c>
      <c r="J161" s="376">
        <v>345449</v>
      </c>
      <c r="K161" s="376"/>
    </row>
    <row r="162" spans="2:11" ht="13.5" x14ac:dyDescent="0.4">
      <c r="B162" s="371"/>
      <c r="C162" s="388" t="s">
        <v>405</v>
      </c>
      <c r="E162" s="376">
        <v>333492</v>
      </c>
      <c r="F162" s="376">
        <v>504747</v>
      </c>
      <c r="G162" s="376">
        <v>655386</v>
      </c>
      <c r="H162" s="376">
        <v>591536</v>
      </c>
      <c r="I162" s="376">
        <v>668367</v>
      </c>
      <c r="J162" s="376">
        <v>915773</v>
      </c>
      <c r="K162" s="376"/>
    </row>
    <row r="163" spans="2:11" ht="13.5" x14ac:dyDescent="0.4">
      <c r="B163" s="371"/>
      <c r="C163" s="377" t="s">
        <v>406</v>
      </c>
      <c r="E163" s="376"/>
      <c r="F163" s="376"/>
      <c r="G163" s="376"/>
      <c r="H163" s="376"/>
      <c r="I163" s="376"/>
      <c r="J163" s="376"/>
      <c r="K163" s="376"/>
    </row>
    <row r="164" spans="2:11" ht="13.5" x14ac:dyDescent="0.4">
      <c r="B164" s="371"/>
      <c r="C164" s="377" t="s">
        <v>301</v>
      </c>
      <c r="E164" s="323"/>
      <c r="F164" s="323"/>
      <c r="G164" s="323"/>
      <c r="H164" s="323"/>
      <c r="I164" s="323"/>
      <c r="J164" s="323"/>
      <c r="K164" s="323"/>
    </row>
    <row r="165" spans="2:11" ht="13.5" x14ac:dyDescent="0.4">
      <c r="B165" s="371"/>
      <c r="C165" s="377" t="s">
        <v>407</v>
      </c>
      <c r="E165" s="323"/>
      <c r="F165" s="323"/>
      <c r="G165" s="323"/>
      <c r="H165" s="323"/>
      <c r="I165" s="323"/>
      <c r="J165" s="323"/>
      <c r="K165" s="323"/>
    </row>
    <row r="166" spans="2:11" ht="13.5" x14ac:dyDescent="0.4">
      <c r="B166" s="371"/>
      <c r="C166" s="389" t="s">
        <v>408</v>
      </c>
      <c r="E166" s="390"/>
      <c r="F166" s="390"/>
      <c r="G166" s="390"/>
      <c r="H166" s="390"/>
      <c r="I166" s="390"/>
      <c r="J166" s="390"/>
      <c r="K166" s="390"/>
    </row>
    <row r="167" spans="2:11" ht="13.9" thickBot="1" x14ac:dyDescent="0.45">
      <c r="B167" s="371"/>
      <c r="C167" s="383" t="s">
        <v>409</v>
      </c>
      <c r="E167" s="313"/>
      <c r="F167" s="313"/>
      <c r="G167" s="313"/>
      <c r="H167" s="313"/>
      <c r="I167" s="313"/>
      <c r="J167" s="313"/>
      <c r="K167" s="313"/>
    </row>
    <row r="168" spans="2:11" x14ac:dyDescent="0.4">
      <c r="E168" s="314"/>
      <c r="F168" s="314"/>
      <c r="G168" s="314"/>
      <c r="H168" s="314"/>
      <c r="I168" s="314"/>
      <c r="J168" s="314"/>
      <c r="K168" s="314"/>
    </row>
    <row r="169" spans="2:11" ht="13.5" x14ac:dyDescent="0.4">
      <c r="B169" s="356" t="s">
        <v>410</v>
      </c>
      <c r="E169" s="314"/>
      <c r="F169" s="314"/>
      <c r="G169" s="314"/>
      <c r="H169" s="314"/>
      <c r="I169" s="314"/>
      <c r="J169" s="314"/>
      <c r="K169" s="314"/>
    </row>
    <row r="170" spans="2:11" ht="13.5" thickBot="1" x14ac:dyDescent="0.45">
      <c r="B170" s="371"/>
      <c r="C170" s="301"/>
      <c r="E170" s="314">
        <f t="shared" ref="E170:J170" si="32">E172+E177+E182+E183</f>
        <v>77884</v>
      </c>
      <c r="F170" s="314">
        <f t="shared" si="32"/>
        <v>103971</v>
      </c>
      <c r="G170" s="314">
        <f t="shared" si="32"/>
        <v>120082</v>
      </c>
      <c r="H170" s="314">
        <f t="shared" si="32"/>
        <v>133926</v>
      </c>
      <c r="I170" s="314">
        <f t="shared" si="32"/>
        <v>141907</v>
      </c>
      <c r="J170" s="314">
        <f t="shared" si="32"/>
        <v>143450</v>
      </c>
      <c r="K170" s="314"/>
    </row>
    <row r="171" spans="2:11" ht="13.5" x14ac:dyDescent="0.4">
      <c r="B171" s="303"/>
      <c r="C171" s="373" t="s">
        <v>411</v>
      </c>
      <c r="E171" s="338">
        <v>77884</v>
      </c>
      <c r="F171" s="338">
        <v>103971</v>
      </c>
      <c r="G171" s="338">
        <v>120082</v>
      </c>
      <c r="H171" s="338">
        <v>133926</v>
      </c>
      <c r="I171" s="338">
        <v>141907</v>
      </c>
      <c r="J171" s="338">
        <v>143450</v>
      </c>
      <c r="K171" s="338">
        <f t="shared" ref="K171" si="33">K69</f>
        <v>38671</v>
      </c>
    </row>
    <row r="172" spans="2:11" ht="13.5" x14ac:dyDescent="0.4">
      <c r="B172" s="372"/>
      <c r="C172" s="375" t="s">
        <v>412</v>
      </c>
      <c r="E172" s="391">
        <v>50918</v>
      </c>
      <c r="F172" s="392">
        <v>65520</v>
      </c>
      <c r="G172" s="392">
        <v>70608</v>
      </c>
      <c r="H172" s="392">
        <v>79880</v>
      </c>
      <c r="I172" s="392">
        <v>83971</v>
      </c>
      <c r="J172" s="392">
        <v>79714</v>
      </c>
      <c r="K172" s="392">
        <f t="shared" ref="K172" si="34">K173+K176</f>
        <v>0</v>
      </c>
    </row>
    <row r="173" spans="2:11" ht="13.5" x14ac:dyDescent="0.4">
      <c r="B173" s="360"/>
      <c r="C173" s="377" t="s">
        <v>413</v>
      </c>
      <c r="E173" s="393"/>
      <c r="F173" s="393"/>
      <c r="G173" s="393"/>
      <c r="H173" s="393"/>
      <c r="I173" s="393"/>
      <c r="J173" s="393"/>
      <c r="K173" s="393"/>
    </row>
    <row r="174" spans="2:11" ht="13.5" x14ac:dyDescent="0.4">
      <c r="B174" s="360"/>
      <c r="C174" s="377" t="s">
        <v>414</v>
      </c>
      <c r="E174" s="393"/>
      <c r="F174" s="393"/>
      <c r="G174" s="393"/>
      <c r="H174" s="393"/>
      <c r="I174" s="393"/>
      <c r="J174" s="393"/>
      <c r="K174" s="323"/>
    </row>
    <row r="175" spans="2:11" ht="13.5" x14ac:dyDescent="0.4">
      <c r="B175" s="371"/>
      <c r="C175" s="377" t="s">
        <v>385</v>
      </c>
      <c r="E175" s="309"/>
      <c r="F175" s="309"/>
      <c r="G175" s="309"/>
      <c r="H175" s="309"/>
      <c r="I175" s="309"/>
      <c r="J175" s="309"/>
      <c r="K175" s="309"/>
    </row>
    <row r="176" spans="2:11" ht="13.5" x14ac:dyDescent="0.4">
      <c r="B176" s="371"/>
      <c r="C176" s="378" t="s">
        <v>386</v>
      </c>
      <c r="E176" s="309"/>
      <c r="F176" s="309"/>
      <c r="G176" s="309"/>
      <c r="H176" s="309"/>
      <c r="I176" s="309"/>
      <c r="J176" s="309"/>
      <c r="K176" s="324"/>
    </row>
    <row r="177" spans="2:11" ht="13.5" x14ac:dyDescent="0.4">
      <c r="B177" s="371"/>
      <c r="C177" s="379" t="s">
        <v>387</v>
      </c>
      <c r="E177" s="380">
        <v>7822</v>
      </c>
      <c r="F177" s="380">
        <v>13689</v>
      </c>
      <c r="G177" s="380">
        <v>27349</v>
      </c>
      <c r="H177" s="380">
        <v>29494</v>
      </c>
      <c r="I177" s="380">
        <v>38801</v>
      </c>
      <c r="J177" s="380">
        <v>46560</v>
      </c>
      <c r="K177" s="380"/>
    </row>
    <row r="178" spans="2:11" ht="13.5" x14ac:dyDescent="0.4">
      <c r="B178" s="371"/>
      <c r="C178" s="377" t="s">
        <v>388</v>
      </c>
      <c r="E178" s="309"/>
      <c r="F178" s="309"/>
      <c r="G178" s="309"/>
      <c r="H178" s="309"/>
      <c r="I178" s="309"/>
      <c r="J178" s="309"/>
      <c r="K178" s="309"/>
    </row>
    <row r="179" spans="2:11" ht="13.5" x14ac:dyDescent="0.4">
      <c r="B179" s="371"/>
      <c r="C179" s="377" t="s">
        <v>389</v>
      </c>
      <c r="E179" s="309"/>
      <c r="F179" s="309"/>
      <c r="G179" s="309"/>
      <c r="H179" s="309"/>
      <c r="I179" s="309"/>
      <c r="J179" s="309"/>
      <c r="K179" s="309"/>
    </row>
    <row r="180" spans="2:11" ht="13.5" x14ac:dyDescent="0.4">
      <c r="B180" s="371"/>
      <c r="C180" s="381" t="s">
        <v>390</v>
      </c>
      <c r="E180" s="309"/>
      <c r="F180" s="309"/>
      <c r="G180" s="309"/>
      <c r="H180" s="309"/>
      <c r="I180" s="309"/>
      <c r="J180" s="309"/>
      <c r="K180" s="309"/>
    </row>
    <row r="181" spans="2:11" ht="13.5" x14ac:dyDescent="0.4">
      <c r="B181" s="371"/>
      <c r="C181" s="378" t="s">
        <v>391</v>
      </c>
      <c r="E181" s="328"/>
      <c r="F181" s="328"/>
      <c r="G181" s="328"/>
      <c r="H181" s="328"/>
      <c r="I181" s="328"/>
      <c r="J181" s="328"/>
      <c r="K181" s="328"/>
    </row>
    <row r="182" spans="2:11" ht="13.5" x14ac:dyDescent="0.4">
      <c r="B182" s="371"/>
      <c r="C182" s="379" t="s">
        <v>392</v>
      </c>
      <c r="E182" s="382">
        <v>3106</v>
      </c>
      <c r="F182" s="382">
        <v>3901</v>
      </c>
      <c r="G182" s="382">
        <v>4535</v>
      </c>
      <c r="H182" s="382">
        <v>5034</v>
      </c>
      <c r="I182" s="382">
        <v>5120</v>
      </c>
      <c r="J182" s="382">
        <v>5306</v>
      </c>
      <c r="K182" s="382"/>
    </row>
    <row r="183" spans="2:11" ht="13.5" x14ac:dyDescent="0.4">
      <c r="B183" s="371"/>
      <c r="C183" s="375" t="s">
        <v>393</v>
      </c>
      <c r="E183" s="394">
        <v>16038</v>
      </c>
      <c r="F183" s="382">
        <v>20861</v>
      </c>
      <c r="G183" s="394">
        <v>17590</v>
      </c>
      <c r="H183" s="394">
        <v>19518</v>
      </c>
      <c r="I183" s="394">
        <v>14015</v>
      </c>
      <c r="J183" s="394">
        <v>11870</v>
      </c>
      <c r="K183" s="394"/>
    </row>
    <row r="184" spans="2:11" ht="13.5" x14ac:dyDescent="0.4">
      <c r="B184" s="371"/>
      <c r="C184" s="377" t="s">
        <v>394</v>
      </c>
      <c r="E184" s="323"/>
      <c r="F184" s="323"/>
      <c r="G184" s="323"/>
      <c r="H184" s="323"/>
      <c r="I184" s="323"/>
      <c r="J184" s="323"/>
      <c r="K184" s="323"/>
    </row>
    <row r="185" spans="2:11" ht="13.5" x14ac:dyDescent="0.4">
      <c r="B185" s="371"/>
      <c r="C185" s="377" t="s">
        <v>280</v>
      </c>
      <c r="E185" s="309"/>
      <c r="F185" s="309"/>
      <c r="G185" s="309"/>
      <c r="H185" s="309"/>
      <c r="I185" s="309"/>
      <c r="J185" s="309"/>
      <c r="K185" s="309"/>
    </row>
    <row r="186" spans="2:11" ht="13.5" x14ac:dyDescent="0.4">
      <c r="B186" s="371"/>
      <c r="C186" s="378" t="s">
        <v>395</v>
      </c>
      <c r="E186" s="324"/>
      <c r="F186" s="324"/>
      <c r="G186" s="324"/>
      <c r="H186" s="324"/>
      <c r="I186" s="324"/>
      <c r="J186" s="324"/>
      <c r="K186" s="324"/>
    </row>
    <row r="187" spans="2:11" ht="13.9" thickBot="1" x14ac:dyDescent="0.45">
      <c r="B187" s="371"/>
      <c r="C187" s="383" t="s">
        <v>415</v>
      </c>
      <c r="E187" s="313"/>
      <c r="F187" s="313"/>
      <c r="G187" s="313"/>
      <c r="H187" s="313"/>
      <c r="I187" s="313"/>
      <c r="J187" s="313"/>
      <c r="K187" s="313"/>
    </row>
    <row r="188" spans="2:11" s="334" customFormat="1" ht="13.5" x14ac:dyDescent="0.4">
      <c r="B188" s="395"/>
      <c r="C188" s="333" t="s">
        <v>328</v>
      </c>
      <c r="E188" s="335"/>
      <c r="F188" s="335"/>
      <c r="G188" s="335"/>
      <c r="H188" s="335"/>
      <c r="I188" s="335"/>
      <c r="J188" s="335"/>
      <c r="K188" s="335">
        <v>0</v>
      </c>
    </row>
    <row r="189" spans="2:11" x14ac:dyDescent="0.4">
      <c r="B189" s="371"/>
      <c r="C189" s="366"/>
      <c r="E189" s="314"/>
      <c r="F189" s="314"/>
      <c r="G189" s="314"/>
      <c r="H189" s="314"/>
      <c r="I189" s="314"/>
      <c r="J189" s="314"/>
      <c r="K189" s="314"/>
    </row>
    <row r="190" spans="2:11" ht="13.5" thickBot="1" x14ac:dyDescent="0.45">
      <c r="B190" s="381"/>
      <c r="C190" s="384"/>
      <c r="E190" s="314"/>
      <c r="F190" s="314"/>
      <c r="G190" s="314"/>
      <c r="H190" s="314"/>
      <c r="I190" s="314"/>
      <c r="J190" s="314"/>
      <c r="K190" s="314"/>
    </row>
    <row r="191" spans="2:11" ht="13.5" x14ac:dyDescent="0.4">
      <c r="B191" s="371"/>
      <c r="C191" s="385" t="s">
        <v>416</v>
      </c>
      <c r="E191" s="338">
        <v>-38448</v>
      </c>
      <c r="F191" s="338">
        <v>-54012</v>
      </c>
      <c r="G191" s="338">
        <v>-69220</v>
      </c>
      <c r="H191" s="338">
        <v>-75667</v>
      </c>
      <c r="I191" s="338">
        <v>-75448</v>
      </c>
      <c r="J191" s="338">
        <v>-78162</v>
      </c>
      <c r="K191" s="338">
        <f t="shared" ref="K191" si="35">K70</f>
        <v>-23468</v>
      </c>
    </row>
    <row r="192" spans="2:11" ht="13.5" x14ac:dyDescent="0.4">
      <c r="B192" s="371"/>
      <c r="C192" s="375" t="s">
        <v>417</v>
      </c>
      <c r="E192" s="396">
        <v>-23442</v>
      </c>
      <c r="F192" s="396">
        <v>-31446</v>
      </c>
      <c r="G192" s="396">
        <v>-37617</v>
      </c>
      <c r="H192" s="396">
        <v>-45911</v>
      </c>
      <c r="I192" s="396">
        <v>-47538</v>
      </c>
      <c r="J192" s="396">
        <v>-41451</v>
      </c>
      <c r="K192" s="396"/>
    </row>
    <row r="193" spans="2:11" s="310" customFormat="1" ht="13.5" x14ac:dyDescent="0.4">
      <c r="B193" s="397"/>
      <c r="C193" s="398" t="s">
        <v>373</v>
      </c>
      <c r="E193" s="399"/>
      <c r="F193" s="399"/>
      <c r="G193" s="399"/>
      <c r="H193" s="399"/>
      <c r="I193" s="399"/>
      <c r="J193" s="399"/>
      <c r="K193" s="399"/>
    </row>
    <row r="194" spans="2:11" ht="13.5" x14ac:dyDescent="0.4">
      <c r="B194" s="371"/>
      <c r="C194" s="377" t="s">
        <v>399</v>
      </c>
      <c r="E194" s="309"/>
      <c r="F194" s="309"/>
      <c r="G194" s="309"/>
      <c r="H194" s="309"/>
      <c r="I194" s="309"/>
      <c r="J194" s="309"/>
      <c r="K194" s="309"/>
    </row>
    <row r="195" spans="2:11" ht="13.5" x14ac:dyDescent="0.4">
      <c r="B195" s="371"/>
      <c r="C195" s="377" t="s">
        <v>400</v>
      </c>
      <c r="E195" s="309"/>
      <c r="F195" s="309"/>
      <c r="G195" s="309"/>
      <c r="H195" s="309"/>
      <c r="I195" s="309"/>
      <c r="J195" s="309"/>
      <c r="K195" s="309"/>
    </row>
    <row r="196" spans="2:11" s="310" customFormat="1" ht="13.5" x14ac:dyDescent="0.4">
      <c r="B196" s="397"/>
      <c r="C196" s="398" t="s">
        <v>376</v>
      </c>
      <c r="E196" s="400"/>
      <c r="F196" s="400"/>
      <c r="G196" s="400"/>
      <c r="H196" s="400"/>
      <c r="I196" s="400"/>
      <c r="J196" s="400"/>
      <c r="K196" s="400"/>
    </row>
    <row r="197" spans="2:11" ht="13.5" x14ac:dyDescent="0.4">
      <c r="B197" s="371"/>
      <c r="C197" s="377" t="s">
        <v>401</v>
      </c>
      <c r="E197" s="309"/>
      <c r="F197" s="309"/>
      <c r="G197" s="309"/>
      <c r="H197" s="309"/>
      <c r="I197" s="309"/>
      <c r="J197" s="309"/>
      <c r="K197" s="309"/>
    </row>
    <row r="198" spans="2:11" ht="13.5" x14ac:dyDescent="0.4">
      <c r="B198" s="371"/>
      <c r="C198" s="377" t="s">
        <v>402</v>
      </c>
      <c r="E198" s="309"/>
      <c r="F198" s="309"/>
      <c r="G198" s="309"/>
      <c r="H198" s="309"/>
      <c r="I198" s="309"/>
      <c r="J198" s="309"/>
      <c r="K198" s="309"/>
    </row>
    <row r="199" spans="2:11" ht="13.5" x14ac:dyDescent="0.4">
      <c r="B199" s="371"/>
      <c r="C199" s="378" t="s">
        <v>403</v>
      </c>
      <c r="E199" s="314"/>
      <c r="F199" s="314"/>
      <c r="G199" s="314"/>
      <c r="H199" s="314"/>
      <c r="I199" s="314"/>
      <c r="J199" s="400"/>
      <c r="K199" s="314"/>
    </row>
    <row r="200" spans="2:11" ht="13.5" x14ac:dyDescent="0.4">
      <c r="B200" s="371"/>
      <c r="C200" s="379" t="s">
        <v>404</v>
      </c>
      <c r="E200" s="376">
        <v>-753</v>
      </c>
      <c r="F200" s="376">
        <v>-1953</v>
      </c>
      <c r="G200" s="376">
        <v>-2095</v>
      </c>
      <c r="H200" s="376">
        <v>-2568</v>
      </c>
      <c r="I200" s="376">
        <v>-6570</v>
      </c>
      <c r="J200" s="376">
        <v>-11299</v>
      </c>
      <c r="K200" s="376"/>
    </row>
    <row r="201" spans="2:11" ht="13.5" x14ac:dyDescent="0.4">
      <c r="B201" s="371"/>
      <c r="C201" s="388" t="s">
        <v>405</v>
      </c>
      <c r="E201" s="401">
        <v>-14249</v>
      </c>
      <c r="F201" s="401">
        <v>-20309</v>
      </c>
      <c r="G201" s="401">
        <v>-29508</v>
      </c>
      <c r="H201" s="401">
        <v>-27188</v>
      </c>
      <c r="I201" s="401">
        <v>-21340</v>
      </c>
      <c r="J201" s="401">
        <v>-25412</v>
      </c>
      <c r="K201" s="401"/>
    </row>
    <row r="202" spans="2:11" ht="13.5" x14ac:dyDescent="0.4">
      <c r="B202" s="371"/>
      <c r="C202" s="377" t="s">
        <v>406</v>
      </c>
      <c r="E202" s="323"/>
      <c r="F202" s="323"/>
      <c r="G202" s="323"/>
      <c r="H202" s="323"/>
      <c r="I202" s="323"/>
      <c r="J202" s="323"/>
      <c r="K202" s="323"/>
    </row>
    <row r="203" spans="2:11" ht="13.5" x14ac:dyDescent="0.4">
      <c r="B203" s="371"/>
      <c r="C203" s="377" t="s">
        <v>301</v>
      </c>
      <c r="E203" s="309"/>
      <c r="F203" s="309"/>
      <c r="G203" s="309"/>
      <c r="H203" s="309"/>
      <c r="I203" s="309"/>
      <c r="J203" s="309"/>
      <c r="K203" s="309"/>
    </row>
    <row r="204" spans="2:11" ht="13.5" x14ac:dyDescent="0.4">
      <c r="B204" s="371"/>
      <c r="C204" s="377" t="s">
        <v>407</v>
      </c>
      <c r="E204" s="309"/>
      <c r="F204" s="309"/>
      <c r="G204" s="309"/>
      <c r="H204" s="309"/>
      <c r="I204" s="309"/>
      <c r="J204" s="309"/>
      <c r="K204" s="309"/>
    </row>
    <row r="205" spans="2:11" ht="13.5" x14ac:dyDescent="0.4">
      <c r="B205" s="371"/>
      <c r="C205" s="389" t="s">
        <v>408</v>
      </c>
      <c r="E205" s="390"/>
      <c r="F205" s="390"/>
      <c r="G205" s="390"/>
      <c r="H205" s="390"/>
      <c r="I205" s="390"/>
      <c r="J205" s="390"/>
      <c r="K205" s="390"/>
    </row>
    <row r="206" spans="2:11" ht="13.9" thickBot="1" x14ac:dyDescent="0.45">
      <c r="B206" s="371"/>
      <c r="C206" s="383" t="s">
        <v>418</v>
      </c>
      <c r="E206" s="402"/>
      <c r="F206" s="402"/>
      <c r="G206" s="402"/>
      <c r="H206" s="402"/>
      <c r="I206" s="402"/>
      <c r="J206" s="402"/>
      <c r="K206" s="402"/>
    </row>
    <row r="207" spans="2:11" s="404" customFormat="1" ht="13.5" x14ac:dyDescent="0.4">
      <c r="B207" s="403"/>
      <c r="C207" s="333" t="s">
        <v>328</v>
      </c>
      <c r="E207" s="335">
        <v>0</v>
      </c>
      <c r="F207" s="335">
        <v>0</v>
      </c>
      <c r="G207" s="335">
        <v>0</v>
      </c>
      <c r="H207" s="335">
        <f t="shared" ref="H207" si="36">IF(H192=0,0,H191-H192-H200-H201)</f>
        <v>0</v>
      </c>
      <c r="I207" s="335">
        <f>IF(I192=0,0,I191-I192-I200-I201)</f>
        <v>0</v>
      </c>
      <c r="J207" s="335">
        <f>IF(J192=0,0,J191-J192-J200-J201)</f>
        <v>0</v>
      </c>
      <c r="K207" s="335">
        <v>0</v>
      </c>
    </row>
    <row r="208" spans="2:11" s="310" customFormat="1" x14ac:dyDescent="0.4">
      <c r="B208" s="397"/>
      <c r="C208" s="405"/>
      <c r="E208" s="406"/>
      <c r="F208" s="406"/>
      <c r="G208" s="406"/>
      <c r="H208" s="406"/>
      <c r="I208" s="406"/>
      <c r="J208" s="406"/>
      <c r="K208" s="406"/>
    </row>
    <row r="210" spans="2:11" ht="13.5" x14ac:dyDescent="0.4">
      <c r="B210" s="356" t="s">
        <v>419</v>
      </c>
    </row>
    <row r="211" spans="2:11" ht="13.5" thickBot="1" x14ac:dyDescent="0.45">
      <c r="B211" s="371"/>
      <c r="C211" s="301"/>
    </row>
    <row r="212" spans="2:11" ht="13.5" x14ac:dyDescent="0.4">
      <c r="B212" s="372"/>
      <c r="C212" s="373" t="s">
        <v>420</v>
      </c>
      <c r="E212" s="407">
        <f>[2]!s_stmnote_bank_58($C$6,E6,1)/100</f>
        <v>4.9200000000000001E-2</v>
      </c>
      <c r="F212" s="407">
        <f>[2]!s_stmnote_bank_58($C$6,F6,1)/100</f>
        <v>5.2900000000000003E-2</v>
      </c>
      <c r="G212" s="407">
        <f>[2]!s_stmnote_bank_58($C$6,G6,1)/100</f>
        <v>5.0999999999999997E-2</v>
      </c>
      <c r="H212" s="408">
        <f t="shared" ref="H212:J213" si="37">H171/H133</f>
        <v>5.2961093214782567E-2</v>
      </c>
      <c r="I212" s="408">
        <f t="shared" si="37"/>
        <v>4.811644758770138E-2</v>
      </c>
      <c r="J212" s="408">
        <f t="shared" si="37"/>
        <v>3.9205750796277132E-2</v>
      </c>
      <c r="K212" s="407"/>
    </row>
    <row r="213" spans="2:11" ht="13.5" x14ac:dyDescent="0.4">
      <c r="B213" s="372"/>
      <c r="C213" s="389" t="s">
        <v>412</v>
      </c>
      <c r="E213" s="409">
        <f>E172/E134</f>
        <v>5.996518773421141E-2</v>
      </c>
      <c r="F213" s="409">
        <f t="shared" ref="F213:G213" si="38">F172/F134</f>
        <v>6.6596600646043946E-2</v>
      </c>
      <c r="G213" s="409">
        <f t="shared" si="38"/>
        <v>6.2551381998582567E-2</v>
      </c>
      <c r="H213" s="409">
        <f t="shared" si="37"/>
        <v>6.2964767161209662E-2</v>
      </c>
      <c r="I213" s="409">
        <f t="shared" si="37"/>
        <v>5.7676906021487943E-2</v>
      </c>
      <c r="J213" s="409">
        <f t="shared" si="37"/>
        <v>4.5502936050776238E-2</v>
      </c>
      <c r="K213" s="409"/>
    </row>
    <row r="214" spans="2:11" ht="13.5" x14ac:dyDescent="0.4">
      <c r="B214" s="360"/>
      <c r="C214" s="377" t="s">
        <v>365</v>
      </c>
      <c r="E214" s="410"/>
      <c r="F214" s="410"/>
      <c r="G214" s="410"/>
      <c r="H214" s="411"/>
      <c r="I214" s="410"/>
      <c r="J214" s="409"/>
      <c r="K214" s="410"/>
    </row>
    <row r="215" spans="2:11" ht="13.5" x14ac:dyDescent="0.4">
      <c r="B215" s="360"/>
      <c r="C215" s="377" t="s">
        <v>366</v>
      </c>
      <c r="E215" s="409" t="e">
        <f t="shared" ref="E215:J218" si="39">E174/E136</f>
        <v>#DIV/0!</v>
      </c>
      <c r="F215" s="409" t="e">
        <f t="shared" si="39"/>
        <v>#DIV/0!</v>
      </c>
      <c r="G215" s="409" t="e">
        <f t="shared" si="39"/>
        <v>#DIV/0!</v>
      </c>
      <c r="H215" s="409" t="e">
        <f t="shared" si="39"/>
        <v>#DIV/0!</v>
      </c>
      <c r="I215" s="409" t="e">
        <f t="shared" si="39"/>
        <v>#DIV/0!</v>
      </c>
      <c r="J215" s="409" t="e">
        <f t="shared" si="39"/>
        <v>#DIV/0!</v>
      </c>
      <c r="K215" s="412"/>
    </row>
    <row r="216" spans="2:11" ht="13.5" x14ac:dyDescent="0.4">
      <c r="B216" s="371"/>
      <c r="C216" s="377" t="s">
        <v>385</v>
      </c>
      <c r="E216" s="409" t="e">
        <f t="shared" si="39"/>
        <v>#DIV/0!</v>
      </c>
      <c r="F216" s="409" t="e">
        <f t="shared" si="39"/>
        <v>#DIV/0!</v>
      </c>
      <c r="G216" s="409" t="e">
        <f t="shared" si="39"/>
        <v>#DIV/0!</v>
      </c>
      <c r="H216" s="409" t="e">
        <f t="shared" si="39"/>
        <v>#DIV/0!</v>
      </c>
      <c r="I216" s="409" t="e">
        <f t="shared" si="39"/>
        <v>#DIV/0!</v>
      </c>
      <c r="J216" s="409" t="e">
        <f t="shared" si="39"/>
        <v>#DIV/0!</v>
      </c>
      <c r="K216" s="412"/>
    </row>
    <row r="217" spans="2:11" ht="13.5" x14ac:dyDescent="0.4">
      <c r="B217" s="371"/>
      <c r="C217" s="378" t="s">
        <v>386</v>
      </c>
      <c r="E217" s="409" t="e">
        <f t="shared" si="39"/>
        <v>#DIV/0!</v>
      </c>
      <c r="F217" s="409" t="e">
        <f t="shared" si="39"/>
        <v>#DIV/0!</v>
      </c>
      <c r="G217" s="409" t="e">
        <f t="shared" si="39"/>
        <v>#DIV/0!</v>
      </c>
      <c r="H217" s="409" t="e">
        <f t="shared" si="39"/>
        <v>#DIV/0!</v>
      </c>
      <c r="I217" s="409" t="e">
        <f t="shared" si="39"/>
        <v>#DIV/0!</v>
      </c>
      <c r="J217" s="409" t="e">
        <f t="shared" si="39"/>
        <v>#DIV/0!</v>
      </c>
      <c r="K217" s="413"/>
    </row>
    <row r="218" spans="2:11" ht="13.5" x14ac:dyDescent="0.4">
      <c r="B218" s="371"/>
      <c r="C218" s="414" t="s">
        <v>387</v>
      </c>
      <c r="E218" s="411">
        <f t="shared" si="39"/>
        <v>3.7083744216035802E-2</v>
      </c>
      <c r="F218" s="411">
        <f t="shared" si="39"/>
        <v>4.6315939057440698E-2</v>
      </c>
      <c r="G218" s="411">
        <f t="shared" si="39"/>
        <v>4.9841721688958063E-2</v>
      </c>
      <c r="H218" s="411">
        <f t="shared" si="39"/>
        <v>5.2119762002795604E-2</v>
      </c>
      <c r="I218" s="411">
        <f t="shared" si="39"/>
        <v>5.0167760287034943E-2</v>
      </c>
      <c r="J218" s="411">
        <f t="shared" si="39"/>
        <v>4.0299894922524837E-2</v>
      </c>
      <c r="K218" s="410"/>
    </row>
    <row r="219" spans="2:11" ht="13.5" x14ac:dyDescent="0.4">
      <c r="B219" s="371"/>
      <c r="C219" s="377" t="s">
        <v>388</v>
      </c>
      <c r="E219" s="412"/>
      <c r="F219" s="412"/>
      <c r="G219" s="412"/>
      <c r="H219" s="412"/>
      <c r="I219" s="412"/>
      <c r="J219" s="412"/>
      <c r="K219" s="412"/>
    </row>
    <row r="220" spans="2:11" ht="13.5" x14ac:dyDescent="0.4">
      <c r="B220" s="371"/>
      <c r="C220" s="377" t="s">
        <v>389</v>
      </c>
      <c r="E220" s="412"/>
      <c r="F220" s="412"/>
      <c r="G220" s="412"/>
      <c r="H220" s="412"/>
      <c r="I220" s="412"/>
      <c r="J220" s="412"/>
      <c r="K220" s="412"/>
    </row>
    <row r="221" spans="2:11" ht="13.5" x14ac:dyDescent="0.4">
      <c r="B221" s="371"/>
      <c r="C221" s="381" t="s">
        <v>390</v>
      </c>
      <c r="E221" s="412"/>
      <c r="F221" s="412"/>
      <c r="G221" s="412"/>
      <c r="H221" s="412"/>
      <c r="I221" s="412"/>
      <c r="J221" s="412"/>
      <c r="K221" s="412"/>
    </row>
    <row r="222" spans="2:11" ht="13.5" x14ac:dyDescent="0.4">
      <c r="B222" s="371"/>
      <c r="C222" s="378" t="s">
        <v>391</v>
      </c>
      <c r="E222" s="413"/>
      <c r="F222" s="413"/>
      <c r="G222" s="413"/>
      <c r="H222" s="413"/>
      <c r="I222" s="413"/>
      <c r="J222" s="413"/>
      <c r="K222" s="413"/>
    </row>
    <row r="223" spans="2:11" ht="13.5" x14ac:dyDescent="0.4">
      <c r="B223" s="371"/>
      <c r="C223" s="414" t="s">
        <v>392</v>
      </c>
      <c r="E223" s="411">
        <f t="shared" ref="E223:J224" si="40">E182/E144</f>
        <v>1.4851224771804668E-2</v>
      </c>
      <c r="F223" s="411">
        <f t="shared" si="40"/>
        <v>1.4852804556738399E-2</v>
      </c>
      <c r="G223" s="411">
        <f t="shared" si="40"/>
        <v>1.4879829382331228E-2</v>
      </c>
      <c r="H223" s="411">
        <f t="shared" si="40"/>
        <v>1.5065766830771994E-2</v>
      </c>
      <c r="I223" s="411">
        <f t="shared" si="40"/>
        <v>1.4951393370575541E-2</v>
      </c>
      <c r="J223" s="411">
        <f t="shared" si="40"/>
        <v>1.4868325926258035E-2</v>
      </c>
      <c r="K223" s="415"/>
    </row>
    <row r="224" spans="2:11" ht="13.5" x14ac:dyDescent="0.4">
      <c r="B224" s="371"/>
      <c r="C224" s="389" t="s">
        <v>393</v>
      </c>
      <c r="E224" s="411">
        <f t="shared" si="40"/>
        <v>5.1304361734457224E-2</v>
      </c>
      <c r="F224" s="411">
        <f t="shared" si="40"/>
        <v>4.909198304689872E-2</v>
      </c>
      <c r="G224" s="411">
        <f t="shared" si="40"/>
        <v>4.7209309815456957E-2</v>
      </c>
      <c r="H224" s="411">
        <f t="shared" si="40"/>
        <v>5.4202814836208521E-2</v>
      </c>
      <c r="I224" s="411">
        <f t="shared" si="40"/>
        <v>3.7127106363927763E-2</v>
      </c>
      <c r="J224" s="411">
        <f t="shared" si="40"/>
        <v>3.0061668207316612E-2</v>
      </c>
      <c r="K224" s="409"/>
    </row>
    <row r="225" spans="2:11" ht="13.5" x14ac:dyDescent="0.4">
      <c r="B225" s="395"/>
      <c r="C225" s="377" t="s">
        <v>394</v>
      </c>
      <c r="E225" s="410"/>
      <c r="F225" s="410"/>
      <c r="G225" s="410"/>
      <c r="H225" s="410"/>
      <c r="I225" s="410"/>
      <c r="J225" s="410"/>
      <c r="K225" s="410"/>
    </row>
    <row r="226" spans="2:11" ht="13.5" x14ac:dyDescent="0.4">
      <c r="B226" s="371"/>
      <c r="C226" s="377" t="s">
        <v>280</v>
      </c>
      <c r="E226" s="412"/>
      <c r="F226" s="412"/>
      <c r="G226" s="412"/>
      <c r="H226" s="412"/>
      <c r="I226" s="412"/>
      <c r="J226" s="412"/>
      <c r="K226" s="412"/>
    </row>
    <row r="227" spans="2:11" ht="13.5" x14ac:dyDescent="0.4">
      <c r="B227" s="371"/>
      <c r="C227" s="378" t="s">
        <v>395</v>
      </c>
      <c r="E227" s="413"/>
      <c r="F227" s="413"/>
      <c r="G227" s="413"/>
      <c r="H227" s="413"/>
      <c r="I227" s="413"/>
      <c r="J227" s="413"/>
      <c r="K227" s="413"/>
    </row>
    <row r="228" spans="2:11" ht="13.9" thickBot="1" x14ac:dyDescent="0.45">
      <c r="B228" s="371"/>
      <c r="C228" s="383" t="s">
        <v>421</v>
      </c>
      <c r="E228" s="416"/>
      <c r="F228" s="416"/>
      <c r="G228" s="416"/>
      <c r="H228" s="416"/>
      <c r="I228" s="416"/>
      <c r="J228" s="416"/>
      <c r="K228" s="416"/>
    </row>
    <row r="229" spans="2:11" x14ac:dyDescent="0.4">
      <c r="B229" s="371"/>
      <c r="C229" s="366"/>
    </row>
    <row r="230" spans="2:11" ht="13.5" thickBot="1" x14ac:dyDescent="0.45">
      <c r="B230" s="381"/>
      <c r="C230" s="384"/>
    </row>
    <row r="231" spans="2:11" ht="13.5" x14ac:dyDescent="0.4">
      <c r="B231" s="371"/>
      <c r="C231" s="389" t="s">
        <v>422</v>
      </c>
      <c r="E231" s="417">
        <f>[2]!s_stmnote_bank_60($C$6,E6,1)/100</f>
        <v>2.6200000000000001E-2</v>
      </c>
      <c r="F231" s="417">
        <f>[2]!s_stmnote_bank_60($C$6,F6,1)/100</f>
        <v>2.9500000000000002E-2</v>
      </c>
      <c r="G231" s="417">
        <f>[2]!s_stmnote_bank_60($C$6,G6,1)/100</f>
        <v>3.1400000000000004E-2</v>
      </c>
      <c r="H231" s="417">
        <f>[2]!s_stmnote_bank_60($C$6,H6,1)/100</f>
        <v>3.2400000000000005E-2</v>
      </c>
      <c r="I231" s="417">
        <f>[2]!s_stmnote_bank_60($C$6,I6,1)/100</f>
        <v>2.7999999999999997E-2</v>
      </c>
      <c r="J231" s="417">
        <f>[2]!s_stmnote_bank_60($C$6,J6,1)/100</f>
        <v>2.3300000000000001E-2</v>
      </c>
      <c r="K231" s="417"/>
    </row>
    <row r="232" spans="2:11" ht="13.5" x14ac:dyDescent="0.4">
      <c r="B232" s="371"/>
      <c r="C232" s="418" t="s">
        <v>423</v>
      </c>
      <c r="E232" s="411">
        <f>-E192/E153</f>
        <v>2.1014829251150606E-2</v>
      </c>
      <c r="F232" s="411">
        <f>-F192/F153</f>
        <v>2.4504490463852252E-2</v>
      </c>
      <c r="G232" s="411">
        <f>-G192/G153</f>
        <v>2.5112269877626336E-2</v>
      </c>
      <c r="H232" s="411">
        <f>-H192/H153</f>
        <v>2.7257075345678207E-2</v>
      </c>
      <c r="I232" s="411">
        <f t="shared" ref="I232" si="41">-I192/I153</f>
        <v>2.5356845676246558E-2</v>
      </c>
      <c r="J232" s="411">
        <f>-J192/J153</f>
        <v>1.9822173806382442E-2</v>
      </c>
      <c r="K232" s="411"/>
    </row>
    <row r="233" spans="2:11" s="347" customFormat="1" ht="13.5" x14ac:dyDescent="0.4">
      <c r="B233" s="372"/>
      <c r="C233" s="381" t="s">
        <v>373</v>
      </c>
      <c r="E233" s="412"/>
      <c r="F233" s="412"/>
      <c r="G233" s="412"/>
      <c r="H233" s="412"/>
      <c r="I233" s="412"/>
      <c r="J233" s="415"/>
      <c r="K233" s="412"/>
    </row>
    <row r="234" spans="2:11" s="347" customFormat="1" ht="13.5" x14ac:dyDescent="0.4">
      <c r="B234" s="372"/>
      <c r="C234" s="381" t="s">
        <v>399</v>
      </c>
      <c r="E234" s="415" t="e">
        <f t="shared" ref="E234:J238" si="42">-E194/E155</f>
        <v>#DIV/0!</v>
      </c>
      <c r="F234" s="415" t="e">
        <f t="shared" si="42"/>
        <v>#DIV/0!</v>
      </c>
      <c r="G234" s="415" t="e">
        <f t="shared" si="42"/>
        <v>#DIV/0!</v>
      </c>
      <c r="H234" s="415" t="e">
        <f t="shared" si="42"/>
        <v>#DIV/0!</v>
      </c>
      <c r="I234" s="415" t="e">
        <f t="shared" si="42"/>
        <v>#DIV/0!</v>
      </c>
      <c r="J234" s="415" t="e">
        <f t="shared" si="42"/>
        <v>#DIV/0!</v>
      </c>
      <c r="K234" s="412"/>
    </row>
    <row r="235" spans="2:11" s="347" customFormat="1" ht="13.5" x14ac:dyDescent="0.4">
      <c r="B235" s="372"/>
      <c r="C235" s="381" t="s">
        <v>400</v>
      </c>
      <c r="E235" s="415" t="e">
        <f t="shared" si="42"/>
        <v>#DIV/0!</v>
      </c>
      <c r="F235" s="415" t="e">
        <f t="shared" si="42"/>
        <v>#DIV/0!</v>
      </c>
      <c r="G235" s="415" t="e">
        <f t="shared" si="42"/>
        <v>#DIV/0!</v>
      </c>
      <c r="H235" s="415" t="e">
        <f t="shared" si="42"/>
        <v>#DIV/0!</v>
      </c>
      <c r="I235" s="415" t="e">
        <f t="shared" si="42"/>
        <v>#DIV/0!</v>
      </c>
      <c r="J235" s="415" t="e">
        <f t="shared" si="42"/>
        <v>#DIV/0!</v>
      </c>
      <c r="K235" s="412"/>
    </row>
    <row r="236" spans="2:11" s="347" customFormat="1" ht="13.5" x14ac:dyDescent="0.4">
      <c r="B236" s="372"/>
      <c r="C236" s="381" t="s">
        <v>376</v>
      </c>
      <c r="E236" s="415"/>
      <c r="F236" s="415"/>
      <c r="G236" s="415"/>
      <c r="H236" s="415"/>
      <c r="I236" s="415"/>
      <c r="J236" s="415"/>
      <c r="K236" s="412"/>
    </row>
    <row r="237" spans="2:11" s="347" customFormat="1" ht="13.5" x14ac:dyDescent="0.4">
      <c r="B237" s="372"/>
      <c r="C237" s="381" t="s">
        <v>401</v>
      </c>
      <c r="E237" s="415" t="e">
        <f t="shared" si="42"/>
        <v>#DIV/0!</v>
      </c>
      <c r="F237" s="415" t="e">
        <f t="shared" si="42"/>
        <v>#DIV/0!</v>
      </c>
      <c r="G237" s="415" t="e">
        <f t="shared" si="42"/>
        <v>#DIV/0!</v>
      </c>
      <c r="H237" s="415" t="e">
        <f t="shared" si="42"/>
        <v>#DIV/0!</v>
      </c>
      <c r="I237" s="415" t="e">
        <f t="shared" si="42"/>
        <v>#DIV/0!</v>
      </c>
      <c r="J237" s="415" t="e">
        <f t="shared" si="42"/>
        <v>#DIV/0!</v>
      </c>
      <c r="K237" s="412"/>
    </row>
    <row r="238" spans="2:11" s="347" customFormat="1" ht="13.5" x14ac:dyDescent="0.4">
      <c r="B238" s="372"/>
      <c r="C238" s="381" t="s">
        <v>402</v>
      </c>
      <c r="E238" s="415" t="e">
        <f t="shared" si="42"/>
        <v>#DIV/0!</v>
      </c>
      <c r="F238" s="415" t="e">
        <f t="shared" si="42"/>
        <v>#DIV/0!</v>
      </c>
      <c r="G238" s="415" t="e">
        <f t="shared" si="42"/>
        <v>#DIV/0!</v>
      </c>
      <c r="H238" s="415" t="e">
        <f t="shared" si="42"/>
        <v>#DIV/0!</v>
      </c>
      <c r="I238" s="415" t="e">
        <f t="shared" si="42"/>
        <v>#DIV/0!</v>
      </c>
      <c r="J238" s="415" t="e">
        <f t="shared" si="42"/>
        <v>#DIV/0!</v>
      </c>
      <c r="K238" s="412"/>
    </row>
    <row r="239" spans="2:11" ht="13.5" x14ac:dyDescent="0.4">
      <c r="B239" s="371"/>
      <c r="C239" s="378" t="s">
        <v>377</v>
      </c>
      <c r="E239" s="419"/>
      <c r="F239" s="419"/>
      <c r="G239" s="419"/>
      <c r="H239" s="412"/>
      <c r="I239" s="412"/>
      <c r="J239" s="420"/>
      <c r="K239" s="412"/>
    </row>
    <row r="240" spans="2:11" ht="13.5" x14ac:dyDescent="0.4">
      <c r="B240" s="371"/>
      <c r="C240" s="414" t="s">
        <v>404</v>
      </c>
      <c r="E240" s="409">
        <f t="shared" ref="E240:J245" si="43">-E200/E161</f>
        <v>4.70625E-2</v>
      </c>
      <c r="F240" s="409">
        <f t="shared" si="43"/>
        <v>4.5870913190529876E-2</v>
      </c>
      <c r="G240" s="409">
        <f t="shared" si="43"/>
        <v>4.3783569144600722E-2</v>
      </c>
      <c r="H240" s="409">
        <f t="shared" si="43"/>
        <v>4.5362208758015228E-2</v>
      </c>
      <c r="I240" s="409">
        <f t="shared" si="43"/>
        <v>4.248549867111568E-2</v>
      </c>
      <c r="J240" s="409">
        <f t="shared" si="43"/>
        <v>3.2708156630935389E-2</v>
      </c>
      <c r="K240" s="409"/>
    </row>
    <row r="241" spans="2:11" ht="13.5" x14ac:dyDescent="0.4">
      <c r="B241" s="371"/>
      <c r="C241" s="388" t="s">
        <v>405</v>
      </c>
      <c r="E241" s="409">
        <f t="shared" si="43"/>
        <v>4.2726662108836196E-2</v>
      </c>
      <c r="F241" s="409">
        <f t="shared" si="43"/>
        <v>4.0235999421492349E-2</v>
      </c>
      <c r="G241" s="409">
        <f t="shared" si="43"/>
        <v>4.5023848541165055E-2</v>
      </c>
      <c r="H241" s="409">
        <f t="shared" si="43"/>
        <v>4.5961699710583968E-2</v>
      </c>
      <c r="I241" s="409">
        <f t="shared" si="43"/>
        <v>3.1928566191927486E-2</v>
      </c>
      <c r="J241" s="409">
        <f t="shared" si="43"/>
        <v>2.7749234799453577E-2</v>
      </c>
      <c r="K241" s="409"/>
    </row>
    <row r="242" spans="2:11" ht="13.5" x14ac:dyDescent="0.4">
      <c r="B242" s="371"/>
      <c r="C242" s="377" t="s">
        <v>406</v>
      </c>
      <c r="E242" s="410"/>
      <c r="F242" s="410"/>
      <c r="G242" s="410"/>
      <c r="H242" s="411"/>
      <c r="I242" s="411"/>
      <c r="J242" s="411"/>
      <c r="K242" s="410"/>
    </row>
    <row r="243" spans="2:11" ht="13.5" x14ac:dyDescent="0.4">
      <c r="B243" s="371"/>
      <c r="C243" s="377" t="s">
        <v>301</v>
      </c>
      <c r="E243" s="412"/>
      <c r="F243" s="412"/>
      <c r="G243" s="412"/>
      <c r="H243" s="415"/>
      <c r="I243" s="415"/>
      <c r="J243" s="415"/>
      <c r="K243" s="412"/>
    </row>
    <row r="244" spans="2:11" ht="13.5" x14ac:dyDescent="0.4">
      <c r="B244" s="371"/>
      <c r="C244" s="377" t="s">
        <v>407</v>
      </c>
      <c r="E244" s="412"/>
      <c r="F244" s="412"/>
      <c r="G244" s="412"/>
      <c r="H244" s="420"/>
      <c r="I244" s="420"/>
      <c r="J244" s="420"/>
      <c r="K244" s="412"/>
    </row>
    <row r="245" spans="2:11" ht="13.5" x14ac:dyDescent="0.4">
      <c r="B245" s="371"/>
      <c r="C245" s="389" t="s">
        <v>408</v>
      </c>
      <c r="E245" s="421"/>
      <c r="F245" s="421"/>
      <c r="G245" s="421"/>
      <c r="H245" s="409" t="e">
        <f t="shared" ref="H245" si="44">-H205/H166</f>
        <v>#DIV/0!</v>
      </c>
      <c r="I245" s="409" t="e">
        <f t="shared" si="43"/>
        <v>#DIV/0!</v>
      </c>
      <c r="J245" s="422" t="e">
        <f>-J205/J166</f>
        <v>#DIV/0!</v>
      </c>
      <c r="K245" s="421"/>
    </row>
    <row r="246" spans="2:11" ht="13.9" thickBot="1" x14ac:dyDescent="0.45">
      <c r="B246" s="371"/>
      <c r="C246" s="383" t="s">
        <v>424</v>
      </c>
      <c r="E246" s="416"/>
      <c r="F246" s="416"/>
      <c r="G246" s="416"/>
      <c r="H246" s="416"/>
      <c r="I246" s="416"/>
      <c r="J246" s="416"/>
      <c r="K246" s="416"/>
    </row>
    <row r="247" spans="2:11" ht="13.5" thickBot="1" x14ac:dyDescent="0.45"/>
    <row r="248" spans="2:11" ht="13.5" x14ac:dyDescent="0.4">
      <c r="C248" s="353" t="s">
        <v>425</v>
      </c>
      <c r="E248" s="423">
        <f>[2]!s_stmnote_bank_144n($C$6,E6,1)/100</f>
        <v>2.4900000000000002E-2</v>
      </c>
      <c r="F248" s="423">
        <f>[2]!s_stmnote_bank_144n($C$6,F6,1)/100</f>
        <v>2.5399999999999999E-2</v>
      </c>
      <c r="G248" s="423">
        <f>[2]!s_stmnote_bank_144n($C$6,G6,1)/100</f>
        <v>2.1600000000000001E-2</v>
      </c>
      <c r="H248" s="423">
        <f>[2]!s_stmnote_bank_144n($C$6,H6,1)/100</f>
        <v>2.3E-2</v>
      </c>
      <c r="I248" s="423">
        <f>[2]!s_stmnote_bank_144n($C$6,I6,1)/100</f>
        <v>2.2499999999999999E-2</v>
      </c>
      <c r="J248" s="423">
        <f>[2]!s_stmnote_bank_144n($C$6,J6,1)/100</f>
        <v>1.78E-2</v>
      </c>
      <c r="K248" s="423"/>
    </row>
    <row r="249" spans="2:11" ht="13.5" x14ac:dyDescent="0.4">
      <c r="C249" s="292" t="s">
        <v>426</v>
      </c>
      <c r="E249" s="424">
        <f t="shared" ref="E249:I249" si="45">E212-E231</f>
        <v>2.3E-2</v>
      </c>
      <c r="F249" s="424">
        <f t="shared" si="45"/>
        <v>2.3400000000000001E-2</v>
      </c>
      <c r="G249" s="424">
        <f t="shared" si="45"/>
        <v>1.9599999999999992E-2</v>
      </c>
      <c r="H249" s="424">
        <f>H212-H231</f>
        <v>2.0561093214782562E-2</v>
      </c>
      <c r="I249" s="424">
        <f t="shared" si="45"/>
        <v>2.0116447587701383E-2</v>
      </c>
      <c r="J249" s="424">
        <f>J212-J231</f>
        <v>1.5905750796277131E-2</v>
      </c>
      <c r="K249" s="424"/>
    </row>
    <row r="250" spans="2:11" ht="13.5" x14ac:dyDescent="0.4">
      <c r="C250" s="329" t="s">
        <v>427</v>
      </c>
      <c r="E250" s="425"/>
      <c r="F250" s="425"/>
      <c r="G250" s="425"/>
      <c r="H250" s="425"/>
      <c r="I250" s="425"/>
      <c r="J250" s="425"/>
      <c r="K250" s="425"/>
    </row>
    <row r="251" spans="2:11" ht="13.9" thickBot="1" x14ac:dyDescent="0.45">
      <c r="C251" s="331" t="s">
        <v>428</v>
      </c>
      <c r="E251" s="426"/>
      <c r="F251" s="426"/>
      <c r="G251" s="426"/>
      <c r="H251" s="426"/>
      <c r="I251" s="426"/>
      <c r="J251" s="426"/>
      <c r="K251" s="426"/>
    </row>
    <row r="253" spans="2:11" ht="13.9" thickBot="1" x14ac:dyDescent="0.45">
      <c r="B253" s="427" t="s">
        <v>429</v>
      </c>
    </row>
    <row r="254" spans="2:11" ht="13.5" x14ac:dyDescent="0.4">
      <c r="C254" s="321" t="s">
        <v>430</v>
      </c>
      <c r="E254" s="428">
        <f>[2]!s_stmnote_bank_coretier1cap($C$6,E6,1,1000000)</f>
        <v>0</v>
      </c>
      <c r="F254" s="428">
        <f>[2]!s_stmnote_bank_coretier1cap($C$6,F6,1,1000000)</f>
        <v>0</v>
      </c>
      <c r="G254" s="428">
        <f>[2]!s_stmnote_bank_coretier1cap($C$6,G6,1,1000000)</f>
        <v>151117</v>
      </c>
      <c r="H254" s="428">
        <f>[2]!s_stmnote_bank_coretier1cap($C$6,H6,1,1000000)</f>
        <v>177271</v>
      </c>
      <c r="I254" s="428">
        <f>[2]!s_stmnote_bank_coretier1cap($C$6,I6,1,1000000)</f>
        <v>201835</v>
      </c>
      <c r="J254" s="428">
        <f>[2]!s_stmnote_bank_coretier1cap($C$6,J6,1,1000000)</f>
        <v>218876</v>
      </c>
      <c r="K254" s="428">
        <f>[2]!s_stmnote_bank_coretier1cap($C$6,K6,1,1000000)</f>
        <v>231537</v>
      </c>
    </row>
    <row r="255" spans="2:11" ht="13.5" x14ac:dyDescent="0.4">
      <c r="C255" s="347" t="s">
        <v>431</v>
      </c>
      <c r="E255" s="429">
        <f>[2]!s_stmnote_bank_tier1cap($C$6,E6,1,1000000)</f>
        <v>0</v>
      </c>
      <c r="F255" s="429">
        <f>[2]!s_stmnote_bank_tier1cap($C$6,F6,1,1000000)</f>
        <v>0</v>
      </c>
      <c r="G255" s="429">
        <f>[2]!s_stmnote_bank_tier1cap($C$6,G6,1,1000000)</f>
        <v>151121</v>
      </c>
      <c r="H255" s="429">
        <f>[2]!s_stmnote_bank_tier1cap($C$6,H6,1,1000000)</f>
        <v>177281</v>
      </c>
      <c r="I255" s="429">
        <f>[2]!s_stmnote_bank_tier1cap($C$6,I6,1,1000000)</f>
        <v>221827</v>
      </c>
      <c r="J255" s="429">
        <f>[2]!s_stmnote_bank_tier1cap($C$6,J6,1,1000000)</f>
        <v>248873</v>
      </c>
      <c r="K255" s="429">
        <f>[2]!s_stmnote_bank_tier1cap($C$6,K6,1,1000000)</f>
        <v>261548</v>
      </c>
    </row>
    <row r="256" spans="2:11" ht="13.5" x14ac:dyDescent="0.4">
      <c r="C256" s="286" t="s">
        <v>432</v>
      </c>
      <c r="E256" s="429">
        <f>[2]!s_stmnote_bank_netequitycap($C$6,E6,1,1000000)</f>
        <v>0</v>
      </c>
      <c r="F256" s="429">
        <f>[2]!s_stmnote_bank_netequitycap($C$6,F6,1,1000000)</f>
        <v>0</v>
      </c>
      <c r="G256" s="429">
        <f>[2]!s_stmnote_bank_netequitycap($C$6,G6,1,1000000)</f>
        <v>175351</v>
      </c>
      <c r="H256" s="429">
        <f>[2]!s_stmnote_bank_netequitycap($C$6,H6,1,1000000)</f>
        <v>212719</v>
      </c>
      <c r="I256" s="429">
        <f>[2]!s_stmnote_bank_netequitycap($C$6,I6,1,1000000)</f>
        <v>259482</v>
      </c>
      <c r="J256" s="429">
        <f>[2]!s_stmnote_bank_netequitycap($C$6,J6,1,1000000)</f>
        <v>287880</v>
      </c>
      <c r="K256" s="429">
        <f>[2]!s_stmnote_bank_netequitycap($C$6,K6,1,1000000)</f>
        <v>330414</v>
      </c>
    </row>
    <row r="257" spans="2:11" ht="13.5" x14ac:dyDescent="0.4">
      <c r="C257" s="327" t="s">
        <v>433</v>
      </c>
      <c r="E257" s="430">
        <f>[2]!s_stmnote_bank_rweightedassets($C$6,E6,1,1000000)</f>
        <v>0</v>
      </c>
      <c r="F257" s="430">
        <f>[2]!s_stmnote_bank_rweightedassets($C$6,F6,1,1000000)</f>
        <v>0</v>
      </c>
      <c r="G257" s="430">
        <f>[2]!s_stmnote_bank_rweightedassets($C$6,G6,1,1000000)</f>
        <v>1658861</v>
      </c>
      <c r="H257" s="430">
        <f>[2]!s_stmnote_bank_rweightedassets($C$6,H6,1,1000000)</f>
        <v>1898231</v>
      </c>
      <c r="I257" s="430">
        <f>[2]!s_stmnote_bank_rweightedassets($C$6,I6,1,1000000)</f>
        <v>2185516</v>
      </c>
      <c r="J257" s="430">
        <f>[2]!s_stmnote_bank_rweightedassets($C$6,J6,1,1000000)</f>
        <v>2665037</v>
      </c>
      <c r="K257" s="430">
        <f>[2]!s_stmnote_bank_rweightedassets($C$6,K6,1,1000000)</f>
        <v>2805884</v>
      </c>
    </row>
    <row r="258" spans="2:11" ht="13.5" x14ac:dyDescent="0.4">
      <c r="C258" s="315" t="s">
        <v>434</v>
      </c>
      <c r="E258" s="431">
        <f>[2]!s_stmnote_bank_capadequacyratio_ct1($C$6,E6,1)/100</f>
        <v>0</v>
      </c>
      <c r="F258" s="431">
        <f>[2]!s_stmnote_bank_capadequacyratio_ct1($C$6,F6,1)/100</f>
        <v>0</v>
      </c>
      <c r="G258" s="431">
        <f>[2]!s_stmnote_bank_capadequacyratio_ct1($C$6,G6,1)/100</f>
        <v>9.11E-2</v>
      </c>
      <c r="H258" s="431">
        <f>[2]!s_stmnote_bank_capadequacyratio_ct1($C$6,H6,1)/100</f>
        <v>9.3399999999999997E-2</v>
      </c>
      <c r="I258" s="431">
        <f>[2]!s_stmnote_bank_capadequacyratio_ct1($C$6,I6,1)/100</f>
        <v>9.2399999999999996E-2</v>
      </c>
      <c r="J258" s="431">
        <f>[2]!s_stmnote_bank_capadequacyratio_ct1($C$6,J6,1)/100</f>
        <v>8.2100000000000006E-2</v>
      </c>
      <c r="K258" s="431">
        <f>[2]!s_stmnote_bank_capadequacyratio_ct1($C$6,K6,1)/100</f>
        <v>8.2500000000000004E-2</v>
      </c>
    </row>
    <row r="259" spans="2:11" ht="13.5" x14ac:dyDescent="0.4">
      <c r="C259" s="315" t="s">
        <v>435</v>
      </c>
      <c r="E259" s="432">
        <f>[2]!s_stmnote_bank_capadequacyratio_t1($C$6,E6,1)/100</f>
        <v>0</v>
      </c>
      <c r="F259" s="432">
        <f>[2]!s_stmnote_bank_capadequacyratio_t1($C$6,F6,1)/100</f>
        <v>0</v>
      </c>
      <c r="G259" s="432">
        <f>[2]!s_stmnote_bank_capadequacyratio_t1($C$6,G6,1)/100</f>
        <v>9.11E-2</v>
      </c>
      <c r="H259" s="432">
        <f>[2]!s_stmnote_bank_capadequacyratio_t1($C$6,H6,1)/100</f>
        <v>9.3399999999999997E-2</v>
      </c>
      <c r="I259" s="432">
        <f>[2]!s_stmnote_bank_capadequacyratio_t1($C$6,I6,1)/100</f>
        <v>0.10150000000000001</v>
      </c>
      <c r="J259" s="432">
        <f>[2]!s_stmnote_bank_capadequacyratio_t1($C$6,J6,1)/100</f>
        <v>9.3399999999999997E-2</v>
      </c>
      <c r="K259" s="432">
        <f>[2]!s_stmnote_bank_capadequacyratio_t1($C$6,K6,1)/100</f>
        <v>9.3200000000000005E-2</v>
      </c>
    </row>
    <row r="260" spans="2:11" ht="13.9" thickBot="1" x14ac:dyDescent="0.45">
      <c r="C260" s="331" t="s">
        <v>436</v>
      </c>
      <c r="E260" s="433">
        <f>[2]!s_stmnote_bank_capadequacyratio($C$6,E6,1)/100</f>
        <v>0</v>
      </c>
      <c r="F260" s="433">
        <f>[2]!s_stmnote_bank_capadequacyratio($C$6,F6,1)/100</f>
        <v>0</v>
      </c>
      <c r="G260" s="433">
        <f>[2]!s_stmnote_bank_capadequacyratio($C$6,G6,1)/100</f>
        <v>0.1057</v>
      </c>
      <c r="H260" s="433">
        <f>[2]!s_stmnote_bank_capadequacyratio($C$6,H6,1)/100</f>
        <v>0.11210000000000001</v>
      </c>
      <c r="I260" s="433">
        <f>[2]!s_stmnote_bank_capadequacyratio($C$6,I6,1)/100</f>
        <v>0.11869999999999999</v>
      </c>
      <c r="J260" s="433">
        <f>[2]!s_stmnote_bank_capadequacyratio($C$6,J6,1)/100</f>
        <v>0.10800000000000001</v>
      </c>
      <c r="K260" s="433">
        <f>[2]!s_stmnote_bank_capadequacyratio($C$6,K6,1)/100</f>
        <v>0.11779999999999999</v>
      </c>
    </row>
    <row r="263" spans="2:11" ht="13.5" x14ac:dyDescent="0.4">
      <c r="B263" s="356" t="s">
        <v>437</v>
      </c>
      <c r="C263" s="434"/>
    </row>
    <row r="264" spans="2:11" ht="13.5" thickBot="1" x14ac:dyDescent="0.45">
      <c r="B264" s="381"/>
      <c r="C264" s="365"/>
      <c r="F264" s="435">
        <f>SUM(F265:F269)</f>
        <v>24172</v>
      </c>
      <c r="G264" s="435">
        <f t="shared" ref="G264:J264" si="46">SUM(G265:G269)</f>
        <v>28025</v>
      </c>
      <c r="H264" s="435">
        <f t="shared" si="46"/>
        <v>38119</v>
      </c>
      <c r="I264" s="435">
        <f t="shared" si="46"/>
        <v>38324</v>
      </c>
      <c r="J264" s="435">
        <f t="shared" si="46"/>
        <v>43634</v>
      </c>
    </row>
    <row r="265" spans="2:11" ht="13.5" x14ac:dyDescent="0.4">
      <c r="B265" s="366"/>
      <c r="C265" s="373" t="s">
        <v>438</v>
      </c>
      <c r="E265" s="436">
        <v>21043</v>
      </c>
      <c r="F265" s="436">
        <v>25856</v>
      </c>
      <c r="G265" s="436">
        <v>24172</v>
      </c>
      <c r="H265" s="436">
        <v>28025</v>
      </c>
      <c r="I265" s="436">
        <v>38119</v>
      </c>
      <c r="J265" s="436">
        <v>38119</v>
      </c>
      <c r="K265" s="437"/>
    </row>
    <row r="266" spans="2:11" ht="13.5" x14ac:dyDescent="0.4">
      <c r="B266" s="366"/>
      <c r="C266" s="377" t="s">
        <v>439</v>
      </c>
      <c r="E266" s="438">
        <v>6322</v>
      </c>
      <c r="F266" s="438">
        <v>6719</v>
      </c>
      <c r="G266" s="438">
        <v>10548</v>
      </c>
      <c r="H266" s="438">
        <v>20071</v>
      </c>
      <c r="I266" s="438">
        <v>9953</v>
      </c>
      <c r="J266" s="438">
        <v>22798</v>
      </c>
      <c r="K266" s="439"/>
    </row>
    <row r="267" spans="2:11" ht="13.5" x14ac:dyDescent="0.4">
      <c r="B267" s="381"/>
      <c r="C267" s="377" t="s">
        <v>440</v>
      </c>
      <c r="E267" s="429">
        <v>-909</v>
      </c>
      <c r="F267" s="429">
        <v>-2240</v>
      </c>
      <c r="G267" s="429">
        <v>-4096</v>
      </c>
      <c r="H267" s="429">
        <v>-5579</v>
      </c>
      <c r="I267" s="429">
        <v>-3111</v>
      </c>
      <c r="J267" s="429">
        <v>-5632</v>
      </c>
      <c r="K267" s="440"/>
    </row>
    <row r="268" spans="2:11" ht="13.5" x14ac:dyDescent="0.4">
      <c r="B268" s="381"/>
      <c r="C268" s="377" t="s">
        <v>441</v>
      </c>
      <c r="E268" s="429">
        <v>0</v>
      </c>
      <c r="F268" s="429">
        <v>-3620.0000000000005</v>
      </c>
      <c r="G268" s="429">
        <v>-1804</v>
      </c>
      <c r="H268" s="429">
        <v>-3583</v>
      </c>
      <c r="I268" s="429">
        <v>-5909</v>
      </c>
      <c r="J268" s="429">
        <v>-10835</v>
      </c>
      <c r="K268" s="440"/>
    </row>
    <row r="269" spans="2:11" ht="13.5" x14ac:dyDescent="0.4">
      <c r="B269" s="366"/>
      <c r="C269" s="377" t="s">
        <v>377</v>
      </c>
      <c r="E269" s="441">
        <v>-600</v>
      </c>
      <c r="F269" s="441">
        <v>-2543</v>
      </c>
      <c r="G269" s="441">
        <v>-795</v>
      </c>
      <c r="H269" s="441">
        <v>-815</v>
      </c>
      <c r="I269" s="441">
        <v>-728</v>
      </c>
      <c r="J269" s="441">
        <v>-816</v>
      </c>
      <c r="K269" s="442"/>
    </row>
    <row r="270" spans="2:11" ht="13.5" x14ac:dyDescent="0.4">
      <c r="B270" s="366"/>
      <c r="C270" s="418" t="s">
        <v>442</v>
      </c>
      <c r="E270" s="443">
        <v>25856</v>
      </c>
      <c r="F270" s="443">
        <v>24172</v>
      </c>
      <c r="G270" s="443">
        <v>28025</v>
      </c>
      <c r="H270" s="443">
        <v>38119</v>
      </c>
      <c r="I270" s="443">
        <v>38324</v>
      </c>
      <c r="J270" s="443">
        <v>43634</v>
      </c>
      <c r="K270" s="444"/>
    </row>
    <row r="271" spans="2:11" ht="13.9" thickBot="1" x14ac:dyDescent="0.45">
      <c r="B271" s="366"/>
      <c r="C271" s="445" t="s">
        <v>443</v>
      </c>
      <c r="E271" s="446">
        <v>27048</v>
      </c>
      <c r="F271" s="446">
        <v>31982</v>
      </c>
      <c r="G271" s="446">
        <v>30258</v>
      </c>
      <c r="H271" s="446">
        <v>34237</v>
      </c>
      <c r="I271" s="446">
        <v>45188</v>
      </c>
      <c r="J271" s="446">
        <v>51731</v>
      </c>
      <c r="K271" s="447"/>
    </row>
    <row r="273" spans="2:11" x14ac:dyDescent="0.4">
      <c r="K273" s="316"/>
    </row>
    <row r="274" spans="2:11" ht="13.5" x14ac:dyDescent="0.4">
      <c r="B274" s="356" t="s">
        <v>444</v>
      </c>
      <c r="C274" s="434"/>
    </row>
    <row r="275" spans="2:11" ht="13.5" thickBot="1" x14ac:dyDescent="0.45">
      <c r="B275" s="366"/>
      <c r="C275" s="365"/>
      <c r="J275" s="435"/>
    </row>
    <row r="276" spans="2:11" ht="13.5" x14ac:dyDescent="0.4">
      <c r="B276" s="381"/>
      <c r="C276" s="377" t="s">
        <v>445</v>
      </c>
      <c r="E276" s="428">
        <f>[2]!s_stmnote_bank($C$6,"31",E6,1000000)</f>
        <v>874566</v>
      </c>
      <c r="F276" s="428">
        <f>[2]!s_stmnote_bank($C$6,"31",F6,1000000)</f>
        <v>1001284</v>
      </c>
      <c r="G276" s="428">
        <f>[2]!s_stmnote_bank($C$6,"31",G6,1000000)</f>
        <v>1140392</v>
      </c>
      <c r="H276" s="428">
        <f>[2]!s_stmnote_bank($C$6,"31",H6,1000000)</f>
        <v>1241912</v>
      </c>
      <c r="I276" s="428">
        <f>[2]!s_stmnote_bank($C$6,"31",I6,1000000)</f>
        <v>1422656</v>
      </c>
      <c r="J276" s="428">
        <f>[2]!s_stmnote_bank($C$6,"31",J6,1000000)</f>
        <v>1698723</v>
      </c>
      <c r="K276" s="428">
        <f>[2]!s_stmnote_bank($C$6,"31",K6,1000000)</f>
        <v>0</v>
      </c>
    </row>
    <row r="277" spans="2:11" ht="13.5" x14ac:dyDescent="0.4">
      <c r="B277" s="381"/>
      <c r="C277" s="377" t="s">
        <v>446</v>
      </c>
      <c r="E277" s="429">
        <f>[2]!s_stmnote_bank($C$6,"34",E6,1000000)</f>
        <v>9532</v>
      </c>
      <c r="F277" s="429">
        <f>[2]!s_stmnote_bank($C$6,"34",F6,1000000)</f>
        <v>14290</v>
      </c>
      <c r="G277" s="429">
        <f>[2]!s_stmnote_bank($C$6,"34",G6,1000000)</f>
        <v>15889</v>
      </c>
      <c r="H277" s="429">
        <f>[2]!s_stmnote_bank($C$6,"34",H6,1000000)</f>
        <v>42018</v>
      </c>
      <c r="I277" s="429">
        <f>[2]!s_stmnote_bank($C$6,"34",I6,1000000)</f>
        <v>66512</v>
      </c>
      <c r="J277" s="429">
        <f>[2]!s_stmnote_bank($C$6,"34",J6,1000000)</f>
        <v>67853</v>
      </c>
      <c r="K277" s="429">
        <f>[2]!s_stmnote_bank($C$6,"34",K6,1000000)</f>
        <v>0</v>
      </c>
    </row>
    <row r="278" spans="2:11" ht="13.5" x14ac:dyDescent="0.4">
      <c r="B278" s="381"/>
      <c r="C278" s="377" t="s">
        <v>447</v>
      </c>
      <c r="E278" s="429">
        <f>[2]!s_stmnote_bank($C$6,"37",E6,1000000)</f>
        <v>1229</v>
      </c>
      <c r="F278" s="429">
        <f>[2]!s_stmnote_bank($C$6,"37",F6,1000000)</f>
        <v>3431</v>
      </c>
      <c r="G278" s="429">
        <f>[2]!s_stmnote_bank($C$6,"37",G6,1000000)</f>
        <v>5768</v>
      </c>
      <c r="H278" s="429">
        <f>[2]!s_stmnote_bank($C$6,"37",H6,1000000)</f>
        <v>8685</v>
      </c>
      <c r="I278" s="429">
        <f>[2]!s_stmnote_bank($C$6,"37",I6,1000000)</f>
        <v>11109</v>
      </c>
      <c r="J278" s="429">
        <f>[2]!s_stmnote_bank($C$6,"37",J6,1000000)</f>
        <v>11367</v>
      </c>
      <c r="K278" s="429">
        <f>[2]!s_stmnote_bank($C$6,"37",K6,1000000)</f>
        <v>0</v>
      </c>
    </row>
    <row r="279" spans="2:11" ht="13.5" x14ac:dyDescent="0.4">
      <c r="B279" s="381"/>
      <c r="C279" s="377" t="s">
        <v>448</v>
      </c>
      <c r="E279" s="429">
        <f>[2]!s_stmnote_bank($C$6,"40",E6,1000000)</f>
        <v>1881</v>
      </c>
      <c r="F279" s="429">
        <f>[2]!s_stmnote_bank($C$6,"40",F6,1000000)</f>
        <v>1975</v>
      </c>
      <c r="G279" s="429">
        <f>[2]!s_stmnote_bank($C$6,"40",G6,1000000)</f>
        <v>2496</v>
      </c>
      <c r="H279" s="429">
        <f>[2]!s_stmnote_bank($C$6,"40",H6,1000000)</f>
        <v>4864</v>
      </c>
      <c r="I279" s="429">
        <f>[2]!s_stmnote_bank($C$6,"40",I6,1000000)</f>
        <v>10572</v>
      </c>
      <c r="J279" s="429">
        <f>[2]!s_stmnote_bank($C$6,"40",J6,1000000)</f>
        <v>14078</v>
      </c>
      <c r="K279" s="429">
        <f>[2]!s_stmnote_bank($C$6,"40",K6,1000000)</f>
        <v>0</v>
      </c>
    </row>
    <row r="280" spans="2:11" ht="13.5" x14ac:dyDescent="0.4">
      <c r="B280" s="381"/>
      <c r="C280" s="377" t="s">
        <v>449</v>
      </c>
      <c r="E280" s="448">
        <f>[2]!s_stmnote_bank($C$6,"43",E6,1000000)</f>
        <v>2617</v>
      </c>
      <c r="F280" s="448">
        <f>[2]!s_stmnote_bank($C$6,"43",F6,1000000)</f>
        <v>2207</v>
      </c>
      <c r="G280" s="448">
        <f>[2]!s_stmnote_bank($C$6,"43",G6,1000000)</f>
        <v>1765</v>
      </c>
      <c r="H280" s="448">
        <f>[2]!s_stmnote_bank($C$6,"43",H6,1000000)</f>
        <v>1976</v>
      </c>
      <c r="I280" s="448">
        <f>[2]!s_stmnote_bank($C$6,"43",I6,1000000)</f>
        <v>2694</v>
      </c>
      <c r="J280" s="448">
        <f>[2]!s_stmnote_bank($C$6,"43",J6,1000000)</f>
        <v>3257</v>
      </c>
      <c r="K280" s="448">
        <f>[2]!s_stmnote_bank($C$6,"43",K6,1000000)</f>
        <v>0</v>
      </c>
    </row>
    <row r="281" spans="2:11" ht="13.5" x14ac:dyDescent="0.4">
      <c r="B281" s="366"/>
      <c r="C281" s="418" t="s">
        <v>450</v>
      </c>
      <c r="E281" s="449">
        <f>[2]!s_stmnote_bank_26($C$6,E6,1,1000000)</f>
        <v>5734</v>
      </c>
      <c r="F281" s="449">
        <f>[2]!s_stmnote_bank_26($C$6,F6,1,1000000)</f>
        <v>7613</v>
      </c>
      <c r="G281" s="449">
        <f>[2]!s_stmnote_bank_26($C$6,G6,1,1000000)</f>
        <v>10029</v>
      </c>
      <c r="H281" s="449">
        <f>[2]!s_stmnote_bank_26($C$6,H6,1,1000000)</f>
        <v>15525</v>
      </c>
      <c r="I281" s="449">
        <f>[2]!s_stmnote_bank_26($C$6,I6,1,1000000)</f>
        <v>24375</v>
      </c>
      <c r="J281" s="449">
        <f>[2]!s_stmnote_bank_26($C$6,J6,1,1000000)</f>
        <v>28702</v>
      </c>
      <c r="K281" s="449">
        <f>[2]!s_stmnote_bank_26($C$6,K6,1,1000000)</f>
        <v>29195</v>
      </c>
    </row>
    <row r="282" spans="2:11" ht="13.5" x14ac:dyDescent="0.4">
      <c r="B282" s="366"/>
      <c r="C282" s="366" t="s">
        <v>370</v>
      </c>
      <c r="E282" s="450">
        <f t="shared" ref="E282:K282" si="47">E112</f>
        <v>889825.005</v>
      </c>
      <c r="F282" s="450">
        <f t="shared" si="47"/>
        <v>1023187</v>
      </c>
      <c r="G282" s="450">
        <f t="shared" si="47"/>
        <v>1166310</v>
      </c>
      <c r="H282" s="450">
        <f t="shared" si="47"/>
        <v>1299455</v>
      </c>
      <c r="I282" s="450">
        <f t="shared" si="47"/>
        <v>1513543</v>
      </c>
      <c r="J282" s="450">
        <f t="shared" si="47"/>
        <v>1795278</v>
      </c>
      <c r="K282" s="450">
        <f t="shared" si="47"/>
        <v>0</v>
      </c>
    </row>
    <row r="283" spans="2:11" ht="13.9" thickBot="1" x14ac:dyDescent="0.45">
      <c r="B283" s="366"/>
      <c r="C283" s="383" t="s">
        <v>451</v>
      </c>
      <c r="E283" s="433">
        <f>[2]!s_stmnote_bank_5n($C$6,E6,1)/100</f>
        <v>6.4000000000000003E-3</v>
      </c>
      <c r="F283" s="433">
        <f>[2]!s_stmnote_bank_5n($C$6,F6,1)/100</f>
        <v>7.4000000000000003E-3</v>
      </c>
      <c r="G283" s="433">
        <f>[2]!s_stmnote_bank_5n($C$6,G6,1)/100</f>
        <v>8.6E-3</v>
      </c>
      <c r="H283" s="433">
        <f>[2]!s_stmnote_bank_5n($C$6,H6,1)/100</f>
        <v>1.1899999999999999E-2</v>
      </c>
      <c r="I283" s="433">
        <f>[2]!s_stmnote_bank_5n($C$6,I6,1)/100</f>
        <v>1.61E-2</v>
      </c>
      <c r="J283" s="433">
        <f>[2]!s_stmnote_bank_5n($C$6,J6,1)/100</f>
        <v>1.6E-2</v>
      </c>
      <c r="K283" s="433">
        <f>[2]!s_stmnote_bank_5n($C$6,K6,1)/100</f>
        <v>1.54E-2</v>
      </c>
    </row>
    <row r="284" spans="2:11" s="334" customFormat="1" ht="13.5" x14ac:dyDescent="0.4">
      <c r="B284" s="451"/>
      <c r="C284" s="333" t="s">
        <v>328</v>
      </c>
      <c r="E284" s="452">
        <f>IF(E278=0,0,E282-SUM(E276:E280))</f>
        <v>5.0000000046566129E-3</v>
      </c>
      <c r="F284" s="452">
        <f t="shared" ref="F284:I284" si="48">IF(F278=0,0,F282-SUM(F276:F280))</f>
        <v>0</v>
      </c>
      <c r="G284" s="452">
        <f>IF(G278=0,0,G282-SUM(G276:G280))</f>
        <v>0</v>
      </c>
      <c r="H284" s="452">
        <f t="shared" si="48"/>
        <v>0</v>
      </c>
      <c r="I284" s="452">
        <f t="shared" si="48"/>
        <v>0</v>
      </c>
      <c r="J284" s="452">
        <f>IF(J278=0,0,J282-SUM(J276:J280))</f>
        <v>0</v>
      </c>
      <c r="K284" s="452">
        <f>IF(K278=0,0,K282-SUM(K276:K280))</f>
        <v>0</v>
      </c>
    </row>
    <row r="285" spans="2:11" x14ac:dyDescent="0.4">
      <c r="B285" s="381"/>
      <c r="C285" s="453"/>
      <c r="I285" s="316"/>
      <c r="J285" s="316"/>
      <c r="K285" s="316"/>
    </row>
    <row r="286" spans="2:11" ht="13.5" x14ac:dyDescent="0.4">
      <c r="B286" s="356" t="s">
        <v>452</v>
      </c>
      <c r="C286" s="453"/>
      <c r="G286" s="454"/>
      <c r="H286" s="454"/>
      <c r="I286" s="289"/>
      <c r="J286" s="289"/>
      <c r="K286" s="289"/>
    </row>
    <row r="287" spans="2:11" ht="13.5" thickBot="1" x14ac:dyDescent="0.45">
      <c r="B287" s="455"/>
      <c r="C287" s="365"/>
      <c r="G287" s="456"/>
      <c r="H287" s="456"/>
      <c r="I287" s="316"/>
      <c r="J287" s="316"/>
    </row>
    <row r="288" spans="2:11" ht="13.5" x14ac:dyDescent="0.4">
      <c r="B288" s="381"/>
      <c r="C288" s="457" t="s">
        <v>453</v>
      </c>
      <c r="E288" s="458">
        <f>[2]!s_stmnote_bank_0001($C$6,E6,1,1000000)</f>
        <v>5308.6570000000002</v>
      </c>
      <c r="F288" s="458">
        <f>[2]!s_stmnote_bank_0001($C$6,F6,1,1000000)</f>
        <v>10000</v>
      </c>
      <c r="G288" s="458">
        <f>[2]!s_stmnote_bank_0001($C$6,G6,1,1000000)</f>
        <v>13049</v>
      </c>
      <c r="H288" s="458">
        <f>[2]!s_stmnote_bank_0001($C$6,H6,1,1000000)</f>
        <v>26605</v>
      </c>
      <c r="I288" s="458">
        <f>[2]!s_stmnote_bank_0001($C$6,I6,1,1000000)</f>
        <v>26661</v>
      </c>
      <c r="J288" s="458">
        <f>[2]!s_stmnote_bank_0001($C$6,J6,1,1000000)</f>
        <v>15825</v>
      </c>
      <c r="K288" s="428">
        <f>[2]!s_stmnote_bank_0001($C$6,K6,1,1000000)</f>
        <v>0</v>
      </c>
    </row>
    <row r="289" spans="2:11" ht="13.5" x14ac:dyDescent="0.4">
      <c r="B289" s="381"/>
      <c r="C289" s="457" t="s">
        <v>454</v>
      </c>
      <c r="E289" s="429">
        <f>[2]!s_stmnote_bank_0002($C$6,E6,1,1000000)</f>
        <v>715.69399999999996</v>
      </c>
      <c r="F289" s="429">
        <f>[2]!s_stmnote_bank_0002($C$6,F6,1,1000000)</f>
        <v>3555</v>
      </c>
      <c r="G289" s="429">
        <f>[2]!s_stmnote_bank_0002($C$6,G6,1,1000000)</f>
        <v>5602</v>
      </c>
      <c r="H289" s="429">
        <f>[2]!s_stmnote_bank_0002($C$6,H6,1,1000000)</f>
        <v>14318</v>
      </c>
      <c r="I289" s="429">
        <f>[2]!s_stmnote_bank_0002($C$6,I6,1,1000000)</f>
        <v>23439</v>
      </c>
      <c r="J289" s="429">
        <f>[2]!s_stmnote_bank_0002($C$6,J6,1,1000000)</f>
        <v>20880</v>
      </c>
      <c r="K289" s="429">
        <f>[2]!s_stmnote_bank_0002($C$6,K6,1,1000000)</f>
        <v>0</v>
      </c>
    </row>
    <row r="290" spans="2:11" ht="13.5" x14ac:dyDescent="0.4">
      <c r="B290" s="381"/>
      <c r="C290" s="457" t="s">
        <v>455</v>
      </c>
      <c r="E290" s="459">
        <f>[2]!s_stmnote_bank_0003($C$6,E6,1,1000000)</f>
        <v>701.57399999999996</v>
      </c>
      <c r="F290" s="459">
        <f>[2]!s_stmnote_bank_0003($C$6,F6,1,1000000)</f>
        <v>619</v>
      </c>
      <c r="G290" s="459">
        <f>[2]!s_stmnote_bank_0003($C$6,G6,1,1000000)</f>
        <v>1928</v>
      </c>
      <c r="H290" s="459">
        <f>[2]!s_stmnote_bank_0003($C$6,H6,1,1000000)</f>
        <v>3820</v>
      </c>
      <c r="I290" s="459">
        <f>[2]!s_stmnote_bank_0003($C$6,I6,1,1000000)</f>
        <v>11296</v>
      </c>
      <c r="J290" s="459">
        <f>[2]!s_stmnote_bank_0003($C$6,J6,1,1000000)</f>
        <v>13883</v>
      </c>
      <c r="K290" s="429">
        <f>[2]!s_stmnote_bank_0003($C$6,K7,1,1000000)</f>
        <v>0</v>
      </c>
    </row>
    <row r="291" spans="2:11" ht="13.5" x14ac:dyDescent="0.4">
      <c r="B291" s="381"/>
      <c r="C291" s="457" t="s">
        <v>456</v>
      </c>
      <c r="E291" s="429">
        <f>[2]!s_stmnote_bank_0004($C$6,E6,1,1000000)</f>
        <v>3424.2979999999998</v>
      </c>
      <c r="F291" s="429">
        <f>[2]!s_stmnote_bank_0004($C$6,F6,1,1000000)</f>
        <v>2794</v>
      </c>
      <c r="G291" s="429">
        <f>[2]!s_stmnote_bank_0004($C$6,G6,1,1000000)</f>
        <v>976</v>
      </c>
      <c r="H291" s="429">
        <f>[2]!s_stmnote_bank_0004($C$6,H6,1,1000000)</f>
        <v>402</v>
      </c>
      <c r="I291" s="429">
        <f>[2]!s_stmnote_bank_0004($C$6,I6,1,1000000)</f>
        <v>437</v>
      </c>
      <c r="J291" s="429">
        <f>[2]!s_stmnote_bank_0004($C$6,J6,1,1000000)</f>
        <v>952</v>
      </c>
      <c r="K291" s="429">
        <f>[2]!s_stmnote_bank_0004($C$6,K6,1,1000000)</f>
        <v>0</v>
      </c>
    </row>
    <row r="292" spans="2:11" ht="13.5" thickBot="1" x14ac:dyDescent="0.45">
      <c r="B292" s="366"/>
      <c r="C292" s="460" t="s">
        <v>457</v>
      </c>
      <c r="E292" s="461">
        <f t="shared" ref="E292:K292" si="49">SUM(E288:E291)</f>
        <v>10150.223</v>
      </c>
      <c r="F292" s="461">
        <f t="shared" si="49"/>
        <v>16968</v>
      </c>
      <c r="G292" s="461">
        <f t="shared" si="49"/>
        <v>21555</v>
      </c>
      <c r="H292" s="461">
        <f>SUM(H288:H291)</f>
        <v>45145</v>
      </c>
      <c r="I292" s="461">
        <f t="shared" si="49"/>
        <v>61833</v>
      </c>
      <c r="J292" s="461">
        <f>SUM(J288:J291)</f>
        <v>51540</v>
      </c>
      <c r="K292" s="461">
        <f t="shared" si="49"/>
        <v>0</v>
      </c>
    </row>
    <row r="293" spans="2:11" x14ac:dyDescent="0.4">
      <c r="B293" s="381"/>
      <c r="C293" s="453"/>
      <c r="E293" s="344"/>
      <c r="F293" s="344"/>
      <c r="G293" s="344"/>
      <c r="H293" s="344"/>
      <c r="I293" s="344"/>
      <c r="J293" s="344"/>
    </row>
    <row r="294" spans="2:11" ht="13.9" thickBot="1" x14ac:dyDescent="0.45">
      <c r="B294" s="366" t="s">
        <v>458</v>
      </c>
    </row>
    <row r="295" spans="2:11" x14ac:dyDescent="0.4">
      <c r="B295" s="381"/>
      <c r="C295" s="462" t="s">
        <v>459</v>
      </c>
      <c r="E295" s="463"/>
      <c r="F295" s="428">
        <f>[2]!s_div_aualaccmdiv($C$6,2012,1000000)</f>
        <v>2345.2178199999998</v>
      </c>
      <c r="G295" s="428">
        <f>[2]!s_div_aualaccmdiv($C$6,2013,1000000)</f>
        <v>8028.8043399999988</v>
      </c>
      <c r="H295" s="428">
        <f>[2]!s_div_aualaccmdiv($C$6,2014,1000000)</f>
        <v>8682.3116699999991</v>
      </c>
      <c r="I295" s="428">
        <f>[2]!s_div_aualaccmdiv($C$6,2015,1000000)</f>
        <v>8869.0280500000008</v>
      </c>
      <c r="J295" s="428">
        <f>[2]!s_div_aualaccmdiv($C$6,2016,1000000)</f>
        <v>4574.5513099999998</v>
      </c>
      <c r="K295" s="463"/>
    </row>
    <row r="296" spans="2:11" ht="13.9" thickBot="1" x14ac:dyDescent="0.45">
      <c r="C296" s="355" t="s">
        <v>460</v>
      </c>
      <c r="E296" s="464"/>
      <c r="F296" s="465">
        <f>[2]!s_div_cashbeforetax($C$6,F6)</f>
        <v>5.7999999999999996E-2</v>
      </c>
      <c r="G296" s="465">
        <f>[2]!s_div_cashbeforetax($C$6,G6)</f>
        <v>0.17199999999999999</v>
      </c>
      <c r="H296" s="465">
        <f>[2]!s_div_cashbeforetax($C$6,H6)</f>
        <v>0.186</v>
      </c>
      <c r="I296" s="465">
        <f>[2]!s_div_cashbeforetax($C$6,I6)</f>
        <v>0.19</v>
      </c>
      <c r="J296" s="465">
        <f>[2]!s_div_cashbeforetax($C$6,J6)</f>
        <v>9.8000000000000004E-2</v>
      </c>
      <c r="K296" s="464"/>
    </row>
    <row r="299" spans="2:11" ht="13.9" thickBot="1" x14ac:dyDescent="0.45">
      <c r="B299" s="356" t="s">
        <v>461</v>
      </c>
    </row>
    <row r="300" spans="2:11" x14ac:dyDescent="0.4">
      <c r="B300" s="381"/>
      <c r="C300" s="462" t="s">
        <v>462</v>
      </c>
      <c r="E300" s="466">
        <f>[2]!s_stmnote_bank_6n($C$6,E6,1)/100</f>
        <v>0.7167</v>
      </c>
      <c r="F300" s="466">
        <f>[2]!s_stmnote_bank_6n($C$6,F6,1)/100</f>
        <v>0.71519999999999995</v>
      </c>
      <c r="G300" s="466">
        <f>[2]!s_stmnote_bank_6n($C$6,G6,1)/100</f>
        <v>0.72589999999999999</v>
      </c>
      <c r="H300" s="466">
        <f>[2]!s_stmnote_bank_6n($C$6,H6,1)/100</f>
        <v>0.70099999999999996</v>
      </c>
      <c r="I300" s="466">
        <f>[2]!s_stmnote_bank_6n($C$6,I6,1)/100</f>
        <v>0.7359</v>
      </c>
      <c r="J300" s="466">
        <f>[2]!s_stmnote_bank_6n($C$6,J6,1)/100</f>
        <v>0.84647499999999998</v>
      </c>
      <c r="K300" s="466">
        <f>[2]!s_stmnote_bank_6n($C$6,K6,1)/100</f>
        <v>0.845333</v>
      </c>
    </row>
    <row r="302" spans="2:11" s="532" customFormat="1" ht="12.4" customHeight="1" thickBot="1" x14ac:dyDescent="0.45"/>
    <row r="303" spans="2:11" ht="13.5" thickTop="1" x14ac:dyDescent="0.4"/>
    <row r="304" spans="2:11" ht="13.5" x14ac:dyDescent="0.4">
      <c r="B304" s="286" t="s">
        <v>463</v>
      </c>
      <c r="C304" s="467"/>
      <c r="D304" s="467"/>
      <c r="E304" s="467"/>
      <c r="F304" s="467"/>
      <c r="G304" s="467"/>
      <c r="H304" s="467"/>
      <c r="I304" s="468"/>
      <c r="J304" s="467"/>
      <c r="K304" s="467"/>
    </row>
    <row r="305" spans="3:12" x14ac:dyDescent="0.4">
      <c r="C305" s="469"/>
      <c r="E305" s="285">
        <v>40908</v>
      </c>
      <c r="F305" s="470">
        <v>41274</v>
      </c>
      <c r="G305" s="470">
        <v>41639</v>
      </c>
      <c r="H305" s="470">
        <v>42004</v>
      </c>
      <c r="I305" s="470">
        <v>42369</v>
      </c>
      <c r="J305" s="470">
        <v>42551</v>
      </c>
      <c r="K305" s="471">
        <v>42735</v>
      </c>
      <c r="L305" s="470">
        <v>42916</v>
      </c>
    </row>
    <row r="306" spans="3:12" x14ac:dyDescent="0.4">
      <c r="C306" s="469" t="s">
        <v>464</v>
      </c>
      <c r="F306" s="469">
        <v>563.65</v>
      </c>
      <c r="G306" s="472">
        <v>676.71</v>
      </c>
      <c r="H306" s="472">
        <v>733.05</v>
      </c>
      <c r="I306" s="472">
        <v>769.48</v>
      </c>
      <c r="J306" s="472">
        <v>874.38</v>
      </c>
      <c r="K306" s="473">
        <v>874.38</v>
      </c>
      <c r="L306" s="472">
        <v>939.13</v>
      </c>
    </row>
    <row r="307" spans="3:12" x14ac:dyDescent="0.4">
      <c r="C307" s="469" t="s">
        <v>465</v>
      </c>
      <c r="F307" s="469">
        <v>184.28</v>
      </c>
      <c r="G307" s="474">
        <v>200.28</v>
      </c>
      <c r="H307" s="474">
        <v>219.55</v>
      </c>
      <c r="I307" s="474">
        <v>289.93</v>
      </c>
      <c r="J307" s="474">
        <v>158.88999999999999</v>
      </c>
      <c r="K307" s="473">
        <v>302.69</v>
      </c>
      <c r="L307" s="474">
        <v>156.24</v>
      </c>
    </row>
    <row r="308" spans="3:12" x14ac:dyDescent="0.4">
      <c r="C308" s="469" t="s">
        <v>466</v>
      </c>
      <c r="F308" s="469">
        <v>-38.909999999999997</v>
      </c>
      <c r="G308" s="469">
        <v>-16.18</v>
      </c>
      <c r="H308" s="469">
        <v>-15.16</v>
      </c>
      <c r="I308" s="469">
        <v>-18.329999999999998</v>
      </c>
      <c r="J308" s="469">
        <v>-10.82</v>
      </c>
      <c r="K308" s="469">
        <v>-17.89</v>
      </c>
      <c r="L308" s="469">
        <v>-9.7799999999999994</v>
      </c>
    </row>
    <row r="309" spans="3:12" ht="13.5" x14ac:dyDescent="0.4">
      <c r="C309" s="475" t="s">
        <v>467</v>
      </c>
      <c r="F309" s="469">
        <v>-26.5</v>
      </c>
      <c r="G309" s="472">
        <v>-118.1</v>
      </c>
      <c r="H309" s="472">
        <v>-158.11000000000001</v>
      </c>
      <c r="I309" s="472">
        <v>-152.68</v>
      </c>
      <c r="J309" s="472">
        <v>-94.38</v>
      </c>
      <c r="K309" s="473">
        <v>-212.25</v>
      </c>
      <c r="L309" s="472">
        <v>-82.37</v>
      </c>
    </row>
    <row r="310" spans="3:12" ht="13.5" x14ac:dyDescent="0.4">
      <c r="C310" s="475" t="s">
        <v>468</v>
      </c>
      <c r="F310" s="469">
        <v>-5.77</v>
      </c>
      <c r="G310" s="472">
        <v>-7.78</v>
      </c>
      <c r="H310" s="472">
        <v>-10.61</v>
      </c>
      <c r="I310" s="472">
        <v>-14.71</v>
      </c>
      <c r="J310" s="472">
        <v>-6.48</v>
      </c>
      <c r="K310" s="473">
        <v>-10.31</v>
      </c>
      <c r="L310" s="472">
        <v>-5.8</v>
      </c>
    </row>
    <row r="311" spans="3:12" x14ac:dyDescent="0.4">
      <c r="C311" s="469" t="s">
        <v>469</v>
      </c>
      <c r="F311" s="469">
        <v>3.23</v>
      </c>
      <c r="G311" s="472">
        <v>4.67</v>
      </c>
      <c r="H311" s="472">
        <v>4.41</v>
      </c>
      <c r="I311" s="472">
        <v>5</v>
      </c>
      <c r="J311" s="472">
        <v>3.07</v>
      </c>
      <c r="K311" s="473">
        <v>8.08</v>
      </c>
      <c r="L311" s="472">
        <v>3.25</v>
      </c>
    </row>
    <row r="312" spans="3:12" x14ac:dyDescent="0.4">
      <c r="C312" s="469" t="s">
        <v>470</v>
      </c>
      <c r="F312" s="469">
        <v>-9</v>
      </c>
      <c r="G312" s="472">
        <v>-12.45</v>
      </c>
      <c r="H312" s="472">
        <v>-15.02</v>
      </c>
      <c r="I312" s="472">
        <v>-19.71</v>
      </c>
      <c r="J312" s="472">
        <v>-9.5500000000000007</v>
      </c>
      <c r="K312" s="473">
        <v>-19.59</v>
      </c>
      <c r="L312" s="472">
        <v>-9.0500000000000007</v>
      </c>
    </row>
    <row r="313" spans="3:12" x14ac:dyDescent="0.4">
      <c r="C313" s="469" t="s">
        <v>471</v>
      </c>
      <c r="F313" s="467"/>
      <c r="G313" s="472"/>
      <c r="H313" s="472"/>
      <c r="I313" s="472"/>
      <c r="J313" s="472"/>
      <c r="K313" s="473">
        <v>1.2</v>
      </c>
      <c r="L313" s="472"/>
    </row>
    <row r="314" spans="3:12" x14ac:dyDescent="0.4">
      <c r="C314" s="469" t="s">
        <v>472</v>
      </c>
      <c r="F314" s="467"/>
      <c r="G314" s="469"/>
      <c r="H314" s="472"/>
      <c r="I314" s="472"/>
      <c r="J314" s="472"/>
      <c r="K314" s="468"/>
      <c r="L314" s="472"/>
    </row>
    <row r="315" spans="3:12" x14ac:dyDescent="0.4">
      <c r="C315" s="469" t="s">
        <v>473</v>
      </c>
      <c r="F315" s="469">
        <v>-0.04</v>
      </c>
      <c r="G315" s="472">
        <v>-1.88</v>
      </c>
      <c r="H315" s="472">
        <v>0.76</v>
      </c>
      <c r="I315" s="472">
        <v>0.69</v>
      </c>
      <c r="J315" s="472">
        <v>1.66</v>
      </c>
      <c r="K315" s="473">
        <v>936.62</v>
      </c>
      <c r="L315" s="472">
        <v>-1.37</v>
      </c>
    </row>
    <row r="316" spans="3:12" x14ac:dyDescent="0.4">
      <c r="C316" s="469" t="s">
        <v>474</v>
      </c>
      <c r="F316" s="476">
        <v>676.71</v>
      </c>
      <c r="G316" s="476">
        <v>733.05</v>
      </c>
      <c r="H316" s="476">
        <v>769.48</v>
      </c>
      <c r="I316" s="476">
        <v>874.38</v>
      </c>
      <c r="J316" s="476">
        <v>923.25</v>
      </c>
      <c r="K316" s="477">
        <v>939.13</v>
      </c>
      <c r="L316" s="476">
        <v>996.05</v>
      </c>
    </row>
    <row r="317" spans="3:12" x14ac:dyDescent="0.4">
      <c r="C317" s="469" t="s">
        <v>475</v>
      </c>
      <c r="E317" s="287">
        <v>219.86</v>
      </c>
      <c r="F317" s="478">
        <v>269.95</v>
      </c>
      <c r="G317" s="478">
        <v>343.1</v>
      </c>
      <c r="H317" s="478">
        <v>430.17</v>
      </c>
      <c r="I317" s="478">
        <v>562.05999999999995</v>
      </c>
      <c r="J317" s="478">
        <v>613.64</v>
      </c>
      <c r="K317" s="479">
        <v>624</v>
      </c>
      <c r="L317" s="478">
        <v>659.53</v>
      </c>
    </row>
    <row r="318" spans="3:12" x14ac:dyDescent="0.4">
      <c r="C318" s="467" t="s">
        <v>476</v>
      </c>
      <c r="E318" s="287">
        <v>25617.5</v>
      </c>
      <c r="F318" s="480">
        <v>29472.99</v>
      </c>
      <c r="G318" s="480">
        <v>32663.68</v>
      </c>
      <c r="H318" s="480">
        <v>34317.35</v>
      </c>
      <c r="I318" s="480">
        <v>37220.06</v>
      </c>
      <c r="J318" s="480">
        <v>39837.56</v>
      </c>
      <c r="K318" s="481">
        <v>41029.589999999997</v>
      </c>
      <c r="L318" s="480">
        <v>43701.47</v>
      </c>
    </row>
    <row r="319" spans="3:12" x14ac:dyDescent="0.4">
      <c r="C319" s="469"/>
      <c r="F319" s="482"/>
      <c r="G319" s="483"/>
      <c r="H319" s="483"/>
      <c r="I319" s="483"/>
      <c r="J319" s="483"/>
      <c r="K319" s="484"/>
      <c r="L319" s="483"/>
    </row>
    <row r="320" spans="3:12" ht="13.5" x14ac:dyDescent="0.4">
      <c r="C320" s="467"/>
      <c r="E320" s="288" t="s">
        <v>262</v>
      </c>
      <c r="F320" s="485">
        <v>2012</v>
      </c>
      <c r="G320" s="485">
        <v>2013</v>
      </c>
      <c r="H320" s="485">
        <v>2014</v>
      </c>
      <c r="I320" s="485">
        <v>2015</v>
      </c>
      <c r="J320" s="485" t="s">
        <v>260</v>
      </c>
      <c r="K320" s="486">
        <v>2016</v>
      </c>
      <c r="L320" s="485" t="s">
        <v>261</v>
      </c>
    </row>
    <row r="321" spans="2:12" ht="13.5" x14ac:dyDescent="0.4">
      <c r="C321" s="467"/>
      <c r="E321" s="286" t="s">
        <v>263</v>
      </c>
      <c r="F321" s="482">
        <v>184.28</v>
      </c>
      <c r="G321" s="482">
        <v>200.28</v>
      </c>
      <c r="H321" s="482">
        <v>219.55</v>
      </c>
      <c r="I321" s="482">
        <v>289.93</v>
      </c>
      <c r="J321" s="482">
        <v>158.88999999999999</v>
      </c>
      <c r="K321" s="487">
        <v>302.69</v>
      </c>
      <c r="L321" s="482">
        <v>156.24</v>
      </c>
    </row>
    <row r="322" spans="2:12" ht="13.5" x14ac:dyDescent="0.4">
      <c r="C322" s="467"/>
      <c r="E322" s="286" t="s">
        <v>264</v>
      </c>
      <c r="F322" s="482">
        <v>-35.5</v>
      </c>
      <c r="G322" s="482">
        <v>-130.54999999999998</v>
      </c>
      <c r="H322" s="482">
        <v>-173.13000000000002</v>
      </c>
      <c r="I322" s="482">
        <v>-172.39000000000001</v>
      </c>
      <c r="J322" s="482">
        <v>-103.92999999999999</v>
      </c>
      <c r="K322" s="487">
        <v>-231.84</v>
      </c>
      <c r="L322" s="482">
        <v>-91.42</v>
      </c>
    </row>
    <row r="323" spans="2:12" ht="13.5" x14ac:dyDescent="0.4">
      <c r="C323" s="467"/>
      <c r="E323" s="286" t="s">
        <v>265</v>
      </c>
      <c r="F323" s="487">
        <v>3.23</v>
      </c>
      <c r="G323" s="483">
        <v>4.67</v>
      </c>
      <c r="H323" s="483">
        <v>4.41</v>
      </c>
      <c r="I323" s="483">
        <v>5</v>
      </c>
      <c r="J323" s="483">
        <v>3.07</v>
      </c>
      <c r="K323" s="484">
        <v>8.08</v>
      </c>
      <c r="L323" s="483">
        <v>3.25</v>
      </c>
    </row>
    <row r="324" spans="2:12" x14ac:dyDescent="0.4">
      <c r="C324" s="467"/>
      <c r="F324" s="487"/>
      <c r="G324" s="483"/>
      <c r="H324" s="483"/>
      <c r="I324" s="483"/>
      <c r="J324" s="483"/>
      <c r="K324" s="488"/>
      <c r="L324" s="483"/>
    </row>
    <row r="325" spans="2:12" x14ac:dyDescent="0.4">
      <c r="C325" s="467"/>
      <c r="F325" s="487">
        <v>2012</v>
      </c>
      <c r="G325" s="489">
        <v>2013</v>
      </c>
      <c r="H325" s="489">
        <v>2014</v>
      </c>
      <c r="I325" s="489">
        <v>2015</v>
      </c>
      <c r="J325" s="489" t="s">
        <v>260</v>
      </c>
      <c r="K325" s="490">
        <v>2016</v>
      </c>
      <c r="L325" s="489" t="s">
        <v>261</v>
      </c>
    </row>
    <row r="326" spans="2:12" ht="13.5" x14ac:dyDescent="0.4">
      <c r="E326" s="286" t="s">
        <v>266</v>
      </c>
      <c r="F326" s="287">
        <v>85.589999999999975</v>
      </c>
      <c r="G326" s="287">
        <v>203.70000000000002</v>
      </c>
      <c r="H326" s="287">
        <v>260.20000000000005</v>
      </c>
      <c r="I326" s="287">
        <v>304.27999999999997</v>
      </c>
      <c r="J326" s="287">
        <v>155.51000000000005</v>
      </c>
      <c r="K326" s="287">
        <v>293.78000000000009</v>
      </c>
      <c r="L326" s="287">
        <v>126.94999999999997</v>
      </c>
    </row>
    <row r="327" spans="2:12" ht="13.5" x14ac:dyDescent="0.4">
      <c r="E327" s="286" t="s">
        <v>267</v>
      </c>
      <c r="F327" s="289">
        <v>3.3410754367131832E-3</v>
      </c>
      <c r="G327" s="289">
        <v>6.9114127884547854E-3</v>
      </c>
      <c r="H327" s="289">
        <v>7.9660344455982929E-3</v>
      </c>
      <c r="I327" s="289">
        <v>8.8666519996444936E-3</v>
      </c>
      <c r="J327" s="286" t="e">
        <f>NA()</f>
        <v>#N/A</v>
      </c>
      <c r="K327" s="289">
        <v>7.8930555189862701E-3</v>
      </c>
      <c r="L327" s="289" t="e">
        <f>NA()</f>
        <v>#N/A</v>
      </c>
    </row>
    <row r="328" spans="2:12" s="532" customFormat="1" ht="13.5" thickBot="1" x14ac:dyDescent="0.45"/>
    <row r="329" spans="2:12" ht="13.9" thickTop="1" x14ac:dyDescent="0.4">
      <c r="B329" s="27" t="s">
        <v>494</v>
      </c>
    </row>
    <row r="330" spans="2:12" ht="13.5" thickBot="1" x14ac:dyDescent="0.45"/>
    <row r="331" spans="2:12" ht="14.25" thickBot="1" x14ac:dyDescent="0.45">
      <c r="E331" s="491" t="s">
        <v>486</v>
      </c>
      <c r="F331" s="492">
        <v>42916</v>
      </c>
      <c r="G331" s="492">
        <v>42735</v>
      </c>
      <c r="H331" s="493" t="s">
        <v>487</v>
      </c>
      <c r="I331" s="494"/>
      <c r="J331" s="492">
        <v>42916</v>
      </c>
      <c r="K331" s="492">
        <v>42735</v>
      </c>
      <c r="L331" s="493" t="s">
        <v>488</v>
      </c>
    </row>
    <row r="332" spans="2:12" ht="13.5" x14ac:dyDescent="0.4">
      <c r="E332" s="495" t="s">
        <v>489</v>
      </c>
      <c r="F332" s="496">
        <v>1969.32</v>
      </c>
      <c r="G332" s="496">
        <v>1792.21</v>
      </c>
      <c r="H332" s="497">
        <v>177.1099999999999</v>
      </c>
      <c r="I332" s="498" t="s">
        <v>490</v>
      </c>
      <c r="J332" s="499">
        <v>14502.1</v>
      </c>
      <c r="K332" s="499">
        <v>14077.99</v>
      </c>
      <c r="L332" s="500">
        <v>424.1099999999999</v>
      </c>
    </row>
    <row r="333" spans="2:12" ht="13.9" x14ac:dyDescent="0.4">
      <c r="E333" s="501" t="s">
        <v>477</v>
      </c>
      <c r="F333" s="502">
        <v>83.2</v>
      </c>
      <c r="G333" s="503">
        <v>103.14</v>
      </c>
      <c r="H333" s="504">
        <v>-19.939999999999998</v>
      </c>
      <c r="I333" s="284" t="s">
        <v>477</v>
      </c>
      <c r="J333" s="505">
        <v>10670.11</v>
      </c>
      <c r="K333" s="505">
        <v>10039.620000000001</v>
      </c>
      <c r="L333" s="506">
        <v>630.48999999999978</v>
      </c>
    </row>
    <row r="334" spans="2:12" ht="13.9" x14ac:dyDescent="0.4">
      <c r="E334" s="501" t="s">
        <v>478</v>
      </c>
      <c r="F334" s="502">
        <v>25.88</v>
      </c>
      <c r="G334" s="502">
        <v>4.74</v>
      </c>
      <c r="H334" s="504">
        <v>21.14</v>
      </c>
      <c r="I334" s="284" t="s">
        <v>478</v>
      </c>
      <c r="J334" s="505">
        <v>299.89</v>
      </c>
      <c r="K334" s="505">
        <v>285.05</v>
      </c>
      <c r="L334" s="506">
        <v>14.839999999999975</v>
      </c>
    </row>
    <row r="335" spans="2:12" ht="13.9" x14ac:dyDescent="0.4">
      <c r="E335" s="501" t="s">
        <v>479</v>
      </c>
      <c r="F335" s="502">
        <v>340.34</v>
      </c>
      <c r="G335" s="502">
        <v>320.85000000000002</v>
      </c>
      <c r="H335" s="504">
        <v>19.489999999999952</v>
      </c>
      <c r="I335" s="284" t="s">
        <v>479</v>
      </c>
      <c r="J335" s="505">
        <v>2920.27</v>
      </c>
      <c r="K335" s="505">
        <v>3065.91</v>
      </c>
      <c r="L335" s="504">
        <v>-145.63999999999987</v>
      </c>
    </row>
    <row r="336" spans="2:12" ht="13.9" x14ac:dyDescent="0.4">
      <c r="E336" s="501" t="s">
        <v>480</v>
      </c>
      <c r="F336" s="502">
        <v>306.95</v>
      </c>
      <c r="G336" s="502">
        <v>562.04999999999995</v>
      </c>
      <c r="H336" s="507">
        <v>-255.09999999999997</v>
      </c>
      <c r="I336" s="284" t="s">
        <v>480</v>
      </c>
      <c r="J336" s="284">
        <v>611.83000000000004</v>
      </c>
      <c r="K336" s="284">
        <v>687.41</v>
      </c>
      <c r="L336" s="504">
        <v>-75.579999999999927</v>
      </c>
    </row>
    <row r="337" spans="5:12" ht="13.9" x14ac:dyDescent="0.4">
      <c r="E337" s="501" t="s">
        <v>481</v>
      </c>
      <c r="F337" s="502">
        <v>1.58</v>
      </c>
      <c r="G337" s="502">
        <v>0.34</v>
      </c>
      <c r="H337" s="504">
        <v>1.24</v>
      </c>
      <c r="I337" s="284"/>
      <c r="J337" s="284"/>
      <c r="K337" s="284"/>
      <c r="L337" s="504"/>
    </row>
    <row r="338" spans="5:12" ht="13.9" x14ac:dyDescent="0.4">
      <c r="E338" s="501" t="s">
        <v>482</v>
      </c>
      <c r="F338" s="502">
        <v>550.87</v>
      </c>
      <c r="G338" s="502">
        <v>180.56</v>
      </c>
      <c r="H338" s="504">
        <v>370.31</v>
      </c>
      <c r="I338" s="284"/>
      <c r="J338" s="284"/>
      <c r="K338" s="284"/>
      <c r="L338" s="504"/>
    </row>
    <row r="339" spans="5:12" ht="14.25" thickBot="1" x14ac:dyDescent="0.45">
      <c r="E339" s="501" t="s">
        <v>483</v>
      </c>
      <c r="F339" s="502">
        <v>660.5</v>
      </c>
      <c r="G339" s="502">
        <v>620.53</v>
      </c>
      <c r="H339" s="504">
        <v>39.970000000000027</v>
      </c>
      <c r="I339" s="284"/>
      <c r="J339" s="284"/>
      <c r="K339" s="284"/>
      <c r="L339" s="504"/>
    </row>
    <row r="340" spans="5:12" ht="13.5" x14ac:dyDescent="0.4">
      <c r="E340" s="508" t="s">
        <v>491</v>
      </c>
      <c r="F340" s="509">
        <v>3939.3800000000006</v>
      </c>
      <c r="G340" s="510">
        <v>3427.5499999999997</v>
      </c>
      <c r="H340" s="511">
        <v>511.83000000000084</v>
      </c>
      <c r="I340" s="510" t="s">
        <v>492</v>
      </c>
      <c r="J340" s="512">
        <v>4130.84</v>
      </c>
      <c r="K340" s="512">
        <v>3878.23</v>
      </c>
      <c r="L340" s="513">
        <v>252.61000000000013</v>
      </c>
    </row>
    <row r="341" spans="5:12" ht="13.9" x14ac:dyDescent="0.4">
      <c r="E341" s="501" t="s">
        <v>477</v>
      </c>
      <c r="F341" s="502">
        <v>401.39</v>
      </c>
      <c r="G341" s="502">
        <v>377.35</v>
      </c>
      <c r="H341" s="507">
        <v>24.039999999999964</v>
      </c>
      <c r="I341" s="284" t="s">
        <v>477</v>
      </c>
      <c r="J341" s="505">
        <v>985.19</v>
      </c>
      <c r="K341" s="505">
        <v>805.72</v>
      </c>
      <c r="L341" s="506">
        <v>179.47000000000003</v>
      </c>
    </row>
    <row r="342" spans="5:12" ht="13.9" x14ac:dyDescent="0.4">
      <c r="E342" s="501" t="s">
        <v>478</v>
      </c>
      <c r="F342" s="502">
        <v>60.16</v>
      </c>
      <c r="G342" s="502">
        <v>44.72</v>
      </c>
      <c r="H342" s="504">
        <v>15.439999999999998</v>
      </c>
      <c r="I342" s="284" t="s">
        <v>479</v>
      </c>
      <c r="J342" s="505">
        <v>150.49</v>
      </c>
      <c r="K342" s="505">
        <v>204.55</v>
      </c>
      <c r="L342" s="504">
        <v>-54.06</v>
      </c>
    </row>
    <row r="343" spans="5:12" ht="13.9" x14ac:dyDescent="0.4">
      <c r="E343" s="501" t="s">
        <v>479</v>
      </c>
      <c r="F343" s="502">
        <v>2808.92</v>
      </c>
      <c r="G343" s="502">
        <v>2254.62</v>
      </c>
      <c r="H343" s="504">
        <v>554.30000000000018</v>
      </c>
      <c r="I343" s="284" t="s">
        <v>484</v>
      </c>
      <c r="J343" s="505">
        <v>208</v>
      </c>
      <c r="K343" s="505">
        <v>443</v>
      </c>
      <c r="L343" s="504">
        <v>-235</v>
      </c>
    </row>
    <row r="344" spans="5:12" ht="13.9" x14ac:dyDescent="0.4">
      <c r="E344" s="501" t="s">
        <v>480</v>
      </c>
      <c r="F344" s="502">
        <v>603.57000000000005</v>
      </c>
      <c r="G344" s="502">
        <v>663.8</v>
      </c>
      <c r="H344" s="504">
        <v>-60.229999999999905</v>
      </c>
      <c r="I344" s="284" t="s">
        <v>485</v>
      </c>
      <c r="J344" s="505">
        <v>2787.16</v>
      </c>
      <c r="K344" s="505">
        <v>2424.96</v>
      </c>
      <c r="L344" s="504">
        <v>362.19999999999982</v>
      </c>
    </row>
    <row r="345" spans="5:12" ht="13.9" x14ac:dyDescent="0.4">
      <c r="E345" s="501" t="s">
        <v>481</v>
      </c>
      <c r="F345" s="502">
        <v>48.71</v>
      </c>
      <c r="G345" s="502">
        <v>68.040000000000006</v>
      </c>
      <c r="H345" s="504">
        <v>-19.330000000000005</v>
      </c>
      <c r="I345" s="284"/>
      <c r="J345" s="284"/>
      <c r="K345" s="284"/>
      <c r="L345" s="504"/>
    </row>
    <row r="346" spans="5:12" ht="13.9" x14ac:dyDescent="0.4">
      <c r="E346" s="501" t="s">
        <v>482</v>
      </c>
      <c r="F346" s="502">
        <v>16.63</v>
      </c>
      <c r="G346" s="502">
        <v>19.02</v>
      </c>
      <c r="H346" s="504">
        <v>-2.3900000000000006</v>
      </c>
      <c r="I346" s="284"/>
      <c r="J346" s="284"/>
      <c r="K346" s="284"/>
      <c r="L346" s="504"/>
    </row>
    <row r="347" spans="5:12" ht="13.9" x14ac:dyDescent="0.4">
      <c r="E347" s="501"/>
      <c r="F347" s="284"/>
      <c r="G347" s="284"/>
      <c r="H347" s="504"/>
      <c r="I347" s="284"/>
      <c r="J347" s="284"/>
      <c r="K347" s="284"/>
      <c r="L347" s="504"/>
    </row>
    <row r="348" spans="5:12" ht="13.9" x14ac:dyDescent="0.4">
      <c r="E348" s="501"/>
      <c r="F348" s="284"/>
      <c r="G348" s="284"/>
      <c r="H348" s="504"/>
      <c r="I348" s="514"/>
      <c r="J348" s="514"/>
      <c r="K348" s="514"/>
      <c r="L348" s="504"/>
    </row>
    <row r="349" spans="5:12" ht="14.25" thickBot="1" x14ac:dyDescent="0.45">
      <c r="E349" s="515"/>
      <c r="F349" s="516"/>
      <c r="G349" s="516"/>
      <c r="H349" s="517"/>
      <c r="I349" s="518"/>
      <c r="J349" s="518"/>
      <c r="K349" s="518"/>
      <c r="L349" s="519"/>
    </row>
    <row r="350" spans="5:12" ht="14.25" thickBot="1" x14ac:dyDescent="0.45">
      <c r="E350" s="284"/>
      <c r="F350" s="284"/>
      <c r="G350" s="284"/>
      <c r="H350" s="520">
        <v>511.83000000000027</v>
      </c>
      <c r="I350" s="514"/>
      <c r="J350" s="514"/>
      <c r="K350" s="514"/>
      <c r="L350" s="520">
        <v>252.60999999999984</v>
      </c>
    </row>
    <row r="351" spans="5:12" ht="13.9" x14ac:dyDescent="0.4">
      <c r="E351" s="521"/>
      <c r="F351" s="522">
        <v>42916</v>
      </c>
      <c r="G351" s="522">
        <v>42735</v>
      </c>
      <c r="H351" s="523" t="s">
        <v>488</v>
      </c>
      <c r="I351" s="283"/>
      <c r="J351" s="283"/>
      <c r="K351" s="283"/>
      <c r="L351" s="524"/>
    </row>
    <row r="352" spans="5:12" ht="13.9" x14ac:dyDescent="0.4">
      <c r="E352" s="525" t="s">
        <v>493</v>
      </c>
      <c r="F352" s="526">
        <v>12139.890000000001</v>
      </c>
      <c r="G352" s="526">
        <v>11325.83</v>
      </c>
      <c r="H352" s="507">
        <v>814.06000000000131</v>
      </c>
      <c r="I352" s="283"/>
      <c r="J352" s="283"/>
      <c r="K352" s="283"/>
      <c r="L352" s="283"/>
    </row>
    <row r="353" spans="5:12" ht="13.9" x14ac:dyDescent="0.4">
      <c r="E353" s="525" t="s">
        <v>478</v>
      </c>
      <c r="F353" s="526">
        <v>385.92999999999995</v>
      </c>
      <c r="G353" s="526">
        <v>334.51</v>
      </c>
      <c r="H353" s="507">
        <v>51.419999999999959</v>
      </c>
      <c r="I353" s="283"/>
      <c r="J353" s="283"/>
      <c r="K353" s="283"/>
      <c r="L353" s="283"/>
    </row>
    <row r="354" spans="5:12" ht="13.9" x14ac:dyDescent="0.4">
      <c r="E354" s="525" t="s">
        <v>479</v>
      </c>
      <c r="F354" s="526">
        <v>6220.02</v>
      </c>
      <c r="G354" s="526">
        <v>5845.9299999999994</v>
      </c>
      <c r="H354" s="507">
        <v>374.09000000000106</v>
      </c>
      <c r="I354" s="283"/>
      <c r="J354" s="283"/>
      <c r="K354" s="283"/>
      <c r="L354" s="283"/>
    </row>
    <row r="355" spans="5:12" ht="13.9" x14ac:dyDescent="0.4">
      <c r="E355" s="525" t="s">
        <v>480</v>
      </c>
      <c r="F355" s="526">
        <v>1522.35</v>
      </c>
      <c r="G355" s="526">
        <v>1913.2599999999998</v>
      </c>
      <c r="H355" s="507">
        <v>-390.90999999999985</v>
      </c>
      <c r="I355" s="283"/>
      <c r="J355" s="283"/>
      <c r="K355" s="283"/>
      <c r="L355" s="283"/>
    </row>
    <row r="356" spans="5:12" ht="13.9" x14ac:dyDescent="0.4">
      <c r="E356" s="525" t="s">
        <v>481</v>
      </c>
      <c r="F356" s="502">
        <v>50.29</v>
      </c>
      <c r="G356" s="502">
        <v>68.38000000000001</v>
      </c>
      <c r="H356" s="507">
        <v>-18.090000000000011</v>
      </c>
      <c r="I356" s="283"/>
      <c r="J356" s="283"/>
      <c r="K356" s="283"/>
      <c r="L356" s="283"/>
    </row>
    <row r="357" spans="5:12" ht="13.9" x14ac:dyDescent="0.4">
      <c r="E357" s="525" t="s">
        <v>482</v>
      </c>
      <c r="F357" s="527">
        <v>567.5</v>
      </c>
      <c r="G357" s="527">
        <v>199.58</v>
      </c>
      <c r="H357" s="507">
        <v>367.91999999999996</v>
      </c>
      <c r="I357" s="283"/>
      <c r="J357" s="283"/>
      <c r="K357" s="283"/>
      <c r="L357" s="283"/>
    </row>
    <row r="358" spans="5:12" ht="13.9" x14ac:dyDescent="0.4">
      <c r="E358" s="525" t="s">
        <v>483</v>
      </c>
      <c r="F358" s="526">
        <v>660.5</v>
      </c>
      <c r="G358" s="526">
        <v>620.53</v>
      </c>
      <c r="H358" s="507">
        <v>39.970000000000027</v>
      </c>
      <c r="I358" s="283"/>
      <c r="J358" s="283"/>
      <c r="K358" s="283"/>
      <c r="L358" s="283"/>
    </row>
    <row r="359" spans="5:12" ht="13.9" x14ac:dyDescent="0.4">
      <c r="E359" s="525" t="s">
        <v>485</v>
      </c>
      <c r="F359" s="505">
        <v>2787.16</v>
      </c>
      <c r="G359" s="505">
        <v>2424.96</v>
      </c>
      <c r="H359" s="507">
        <v>362.19999999999982</v>
      </c>
      <c r="I359" s="283"/>
      <c r="J359" s="283"/>
      <c r="K359" s="283"/>
      <c r="L359" s="283"/>
    </row>
    <row r="360" spans="5:12" ht="14.25" x14ac:dyDescent="0.4">
      <c r="E360" s="528" t="s">
        <v>484</v>
      </c>
      <c r="F360" s="505">
        <v>208</v>
      </c>
      <c r="G360" s="505">
        <v>443</v>
      </c>
      <c r="H360" s="507">
        <v>-235</v>
      </c>
      <c r="I360" s="283"/>
      <c r="J360" s="283"/>
      <c r="K360" s="283"/>
      <c r="L360" s="283"/>
    </row>
    <row r="361" spans="5:12" ht="13.9" x14ac:dyDescent="0.4">
      <c r="E361" s="529"/>
      <c r="F361" s="284"/>
      <c r="G361" s="284"/>
      <c r="H361" s="507"/>
      <c r="I361" s="283"/>
      <c r="J361" s="283"/>
      <c r="K361" s="283"/>
      <c r="L361" s="283"/>
    </row>
    <row r="362" spans="5:12" ht="13.9" x14ac:dyDescent="0.4">
      <c r="E362" s="529"/>
      <c r="F362" s="284"/>
      <c r="G362" s="284"/>
      <c r="H362" s="507"/>
      <c r="I362" s="283"/>
      <c r="J362" s="283"/>
      <c r="K362" s="283"/>
      <c r="L362" s="283"/>
    </row>
    <row r="363" spans="5:12" ht="14.25" thickBot="1" x14ac:dyDescent="0.45">
      <c r="E363" s="530"/>
      <c r="F363" s="516"/>
      <c r="G363" s="516"/>
      <c r="H363" s="531"/>
      <c r="I363" s="283"/>
      <c r="J363" s="283"/>
      <c r="K363" s="283"/>
      <c r="L363" s="283"/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309" workbookViewId="0">
      <selection activeCell="B334" sqref="B334"/>
    </sheetView>
  </sheetViews>
  <sheetFormatPr defaultRowHeight="13.15" x14ac:dyDescent="0.4"/>
  <cols>
    <col min="1" max="1" width="1.46484375" style="286" customWidth="1"/>
    <col min="2" max="2" width="4.46484375" style="286" customWidth="1"/>
    <col min="3" max="3" width="26.73046875" style="286" customWidth="1"/>
    <col min="4" max="4" width="2.46484375" style="286" customWidth="1"/>
    <col min="5" max="6" width="9.73046875" style="286" customWidth="1"/>
    <col min="7" max="9" width="11.265625" style="286" customWidth="1"/>
    <col min="10" max="10" width="14.1328125" style="286" customWidth="1"/>
    <col min="11" max="11" width="12.19921875" style="286" bestFit="1" customWidth="1"/>
    <col min="12" max="12" width="9.1328125" style="286" bestFit="1" customWidth="1"/>
    <col min="13" max="219" width="9.06640625" style="286"/>
    <col min="220" max="220" width="0" style="286" hidden="1" customWidth="1"/>
    <col min="221" max="221" width="4.46484375" style="286" customWidth="1"/>
    <col min="222" max="222" width="26.73046875" style="286" customWidth="1"/>
    <col min="223" max="223" width="0.59765625" style="286" customWidth="1"/>
    <col min="224" max="249" width="9.73046875" style="286" customWidth="1"/>
    <col min="250" max="475" width="9.06640625" style="286"/>
    <col min="476" max="476" width="0" style="286" hidden="1" customWidth="1"/>
    <col min="477" max="477" width="4.46484375" style="286" customWidth="1"/>
    <col min="478" max="478" width="26.73046875" style="286" customWidth="1"/>
    <col min="479" max="479" width="0.59765625" style="286" customWidth="1"/>
    <col min="480" max="505" width="9.73046875" style="286" customWidth="1"/>
    <col min="506" max="731" width="9.06640625" style="286"/>
    <col min="732" max="732" width="0" style="286" hidden="1" customWidth="1"/>
    <col min="733" max="733" width="4.46484375" style="286" customWidth="1"/>
    <col min="734" max="734" width="26.73046875" style="286" customWidth="1"/>
    <col min="735" max="735" width="0.59765625" style="286" customWidth="1"/>
    <col min="736" max="761" width="9.73046875" style="286" customWidth="1"/>
    <col min="762" max="987" width="9.06640625" style="286"/>
    <col min="988" max="988" width="0" style="286" hidden="1" customWidth="1"/>
    <col min="989" max="989" width="4.46484375" style="286" customWidth="1"/>
    <col min="990" max="990" width="26.73046875" style="286" customWidth="1"/>
    <col min="991" max="991" width="0.59765625" style="286" customWidth="1"/>
    <col min="992" max="1017" width="9.73046875" style="286" customWidth="1"/>
    <col min="1018" max="1243" width="9.06640625" style="286"/>
    <col min="1244" max="1244" width="0" style="286" hidden="1" customWidth="1"/>
    <col min="1245" max="1245" width="4.46484375" style="286" customWidth="1"/>
    <col min="1246" max="1246" width="26.73046875" style="286" customWidth="1"/>
    <col min="1247" max="1247" width="0.59765625" style="286" customWidth="1"/>
    <col min="1248" max="1273" width="9.73046875" style="286" customWidth="1"/>
    <col min="1274" max="1499" width="9.06640625" style="286"/>
    <col min="1500" max="1500" width="0" style="286" hidden="1" customWidth="1"/>
    <col min="1501" max="1501" width="4.46484375" style="286" customWidth="1"/>
    <col min="1502" max="1502" width="26.73046875" style="286" customWidth="1"/>
    <col min="1503" max="1503" width="0.59765625" style="286" customWidth="1"/>
    <col min="1504" max="1529" width="9.73046875" style="286" customWidth="1"/>
    <col min="1530" max="1755" width="9.06640625" style="286"/>
    <col min="1756" max="1756" width="0" style="286" hidden="1" customWidth="1"/>
    <col min="1757" max="1757" width="4.46484375" style="286" customWidth="1"/>
    <col min="1758" max="1758" width="26.73046875" style="286" customWidth="1"/>
    <col min="1759" max="1759" width="0.59765625" style="286" customWidth="1"/>
    <col min="1760" max="1785" width="9.73046875" style="286" customWidth="1"/>
    <col min="1786" max="2011" width="9.06640625" style="286"/>
    <col min="2012" max="2012" width="0" style="286" hidden="1" customWidth="1"/>
    <col min="2013" max="2013" width="4.46484375" style="286" customWidth="1"/>
    <col min="2014" max="2014" width="26.73046875" style="286" customWidth="1"/>
    <col min="2015" max="2015" width="0.59765625" style="286" customWidth="1"/>
    <col min="2016" max="2041" width="9.73046875" style="286" customWidth="1"/>
    <col min="2042" max="2267" width="9.06640625" style="286"/>
    <col min="2268" max="2268" width="0" style="286" hidden="1" customWidth="1"/>
    <col min="2269" max="2269" width="4.46484375" style="286" customWidth="1"/>
    <col min="2270" max="2270" width="26.73046875" style="286" customWidth="1"/>
    <col min="2271" max="2271" width="0.59765625" style="286" customWidth="1"/>
    <col min="2272" max="2297" width="9.73046875" style="286" customWidth="1"/>
    <col min="2298" max="2523" width="9.06640625" style="286"/>
    <col min="2524" max="2524" width="0" style="286" hidden="1" customWidth="1"/>
    <col min="2525" max="2525" width="4.46484375" style="286" customWidth="1"/>
    <col min="2526" max="2526" width="26.73046875" style="286" customWidth="1"/>
    <col min="2527" max="2527" width="0.59765625" style="286" customWidth="1"/>
    <col min="2528" max="2553" width="9.73046875" style="286" customWidth="1"/>
    <col min="2554" max="2779" width="9.06640625" style="286"/>
    <col min="2780" max="2780" width="0" style="286" hidden="1" customWidth="1"/>
    <col min="2781" max="2781" width="4.46484375" style="286" customWidth="1"/>
    <col min="2782" max="2782" width="26.73046875" style="286" customWidth="1"/>
    <col min="2783" max="2783" width="0.59765625" style="286" customWidth="1"/>
    <col min="2784" max="2809" width="9.73046875" style="286" customWidth="1"/>
    <col min="2810" max="3035" width="9.06640625" style="286"/>
    <col min="3036" max="3036" width="0" style="286" hidden="1" customWidth="1"/>
    <col min="3037" max="3037" width="4.46484375" style="286" customWidth="1"/>
    <col min="3038" max="3038" width="26.73046875" style="286" customWidth="1"/>
    <col min="3039" max="3039" width="0.59765625" style="286" customWidth="1"/>
    <col min="3040" max="3065" width="9.73046875" style="286" customWidth="1"/>
    <col min="3066" max="3291" width="9.06640625" style="286"/>
    <col min="3292" max="3292" width="0" style="286" hidden="1" customWidth="1"/>
    <col min="3293" max="3293" width="4.46484375" style="286" customWidth="1"/>
    <col min="3294" max="3294" width="26.73046875" style="286" customWidth="1"/>
    <col min="3295" max="3295" width="0.59765625" style="286" customWidth="1"/>
    <col min="3296" max="3321" width="9.73046875" style="286" customWidth="1"/>
    <col min="3322" max="3547" width="9.06640625" style="286"/>
    <col min="3548" max="3548" width="0" style="286" hidden="1" customWidth="1"/>
    <col min="3549" max="3549" width="4.46484375" style="286" customWidth="1"/>
    <col min="3550" max="3550" width="26.73046875" style="286" customWidth="1"/>
    <col min="3551" max="3551" width="0.59765625" style="286" customWidth="1"/>
    <col min="3552" max="3577" width="9.73046875" style="286" customWidth="1"/>
    <col min="3578" max="3803" width="9.06640625" style="286"/>
    <col min="3804" max="3804" width="0" style="286" hidden="1" customWidth="1"/>
    <col min="3805" max="3805" width="4.46484375" style="286" customWidth="1"/>
    <col min="3806" max="3806" width="26.73046875" style="286" customWidth="1"/>
    <col min="3807" max="3807" width="0.59765625" style="286" customWidth="1"/>
    <col min="3808" max="3833" width="9.73046875" style="286" customWidth="1"/>
    <col min="3834" max="4059" width="9.06640625" style="286"/>
    <col min="4060" max="4060" width="0" style="286" hidden="1" customWidth="1"/>
    <col min="4061" max="4061" width="4.46484375" style="286" customWidth="1"/>
    <col min="4062" max="4062" width="26.73046875" style="286" customWidth="1"/>
    <col min="4063" max="4063" width="0.59765625" style="286" customWidth="1"/>
    <col min="4064" max="4089" width="9.73046875" style="286" customWidth="1"/>
    <col min="4090" max="4315" width="9.06640625" style="286"/>
    <col min="4316" max="4316" width="0" style="286" hidden="1" customWidth="1"/>
    <col min="4317" max="4317" width="4.46484375" style="286" customWidth="1"/>
    <col min="4318" max="4318" width="26.73046875" style="286" customWidth="1"/>
    <col min="4319" max="4319" width="0.59765625" style="286" customWidth="1"/>
    <col min="4320" max="4345" width="9.73046875" style="286" customWidth="1"/>
    <col min="4346" max="4571" width="9.06640625" style="286"/>
    <col min="4572" max="4572" width="0" style="286" hidden="1" customWidth="1"/>
    <col min="4573" max="4573" width="4.46484375" style="286" customWidth="1"/>
    <col min="4574" max="4574" width="26.73046875" style="286" customWidth="1"/>
    <col min="4575" max="4575" width="0.59765625" style="286" customWidth="1"/>
    <col min="4576" max="4601" width="9.73046875" style="286" customWidth="1"/>
    <col min="4602" max="4827" width="9.06640625" style="286"/>
    <col min="4828" max="4828" width="0" style="286" hidden="1" customWidth="1"/>
    <col min="4829" max="4829" width="4.46484375" style="286" customWidth="1"/>
    <col min="4830" max="4830" width="26.73046875" style="286" customWidth="1"/>
    <col min="4831" max="4831" width="0.59765625" style="286" customWidth="1"/>
    <col min="4832" max="4857" width="9.73046875" style="286" customWidth="1"/>
    <col min="4858" max="5083" width="9.06640625" style="286"/>
    <col min="5084" max="5084" width="0" style="286" hidden="1" customWidth="1"/>
    <col min="5085" max="5085" width="4.46484375" style="286" customWidth="1"/>
    <col min="5086" max="5086" width="26.73046875" style="286" customWidth="1"/>
    <col min="5087" max="5087" width="0.59765625" style="286" customWidth="1"/>
    <col min="5088" max="5113" width="9.73046875" style="286" customWidth="1"/>
    <col min="5114" max="5339" width="9.06640625" style="286"/>
    <col min="5340" max="5340" width="0" style="286" hidden="1" customWidth="1"/>
    <col min="5341" max="5341" width="4.46484375" style="286" customWidth="1"/>
    <col min="5342" max="5342" width="26.73046875" style="286" customWidth="1"/>
    <col min="5343" max="5343" width="0.59765625" style="286" customWidth="1"/>
    <col min="5344" max="5369" width="9.73046875" style="286" customWidth="1"/>
    <col min="5370" max="5595" width="9.06640625" style="286"/>
    <col min="5596" max="5596" width="0" style="286" hidden="1" customWidth="1"/>
    <col min="5597" max="5597" width="4.46484375" style="286" customWidth="1"/>
    <col min="5598" max="5598" width="26.73046875" style="286" customWidth="1"/>
    <col min="5599" max="5599" width="0.59765625" style="286" customWidth="1"/>
    <col min="5600" max="5625" width="9.73046875" style="286" customWidth="1"/>
    <col min="5626" max="5851" width="9.06640625" style="286"/>
    <col min="5852" max="5852" width="0" style="286" hidden="1" customWidth="1"/>
    <col min="5853" max="5853" width="4.46484375" style="286" customWidth="1"/>
    <col min="5854" max="5854" width="26.73046875" style="286" customWidth="1"/>
    <col min="5855" max="5855" width="0.59765625" style="286" customWidth="1"/>
    <col min="5856" max="5881" width="9.73046875" style="286" customWidth="1"/>
    <col min="5882" max="6107" width="9.06640625" style="286"/>
    <col min="6108" max="6108" width="0" style="286" hidden="1" customWidth="1"/>
    <col min="6109" max="6109" width="4.46484375" style="286" customWidth="1"/>
    <col min="6110" max="6110" width="26.73046875" style="286" customWidth="1"/>
    <col min="6111" max="6111" width="0.59765625" style="286" customWidth="1"/>
    <col min="6112" max="6137" width="9.73046875" style="286" customWidth="1"/>
    <col min="6138" max="6363" width="9.06640625" style="286"/>
    <col min="6364" max="6364" width="0" style="286" hidden="1" customWidth="1"/>
    <col min="6365" max="6365" width="4.46484375" style="286" customWidth="1"/>
    <col min="6366" max="6366" width="26.73046875" style="286" customWidth="1"/>
    <col min="6367" max="6367" width="0.59765625" style="286" customWidth="1"/>
    <col min="6368" max="6393" width="9.73046875" style="286" customWidth="1"/>
    <col min="6394" max="6619" width="9.06640625" style="286"/>
    <col min="6620" max="6620" width="0" style="286" hidden="1" customWidth="1"/>
    <col min="6621" max="6621" width="4.46484375" style="286" customWidth="1"/>
    <col min="6622" max="6622" width="26.73046875" style="286" customWidth="1"/>
    <col min="6623" max="6623" width="0.59765625" style="286" customWidth="1"/>
    <col min="6624" max="6649" width="9.73046875" style="286" customWidth="1"/>
    <col min="6650" max="6875" width="9.06640625" style="286"/>
    <col min="6876" max="6876" width="0" style="286" hidden="1" customWidth="1"/>
    <col min="6877" max="6877" width="4.46484375" style="286" customWidth="1"/>
    <col min="6878" max="6878" width="26.73046875" style="286" customWidth="1"/>
    <col min="6879" max="6879" width="0.59765625" style="286" customWidth="1"/>
    <col min="6880" max="6905" width="9.73046875" style="286" customWidth="1"/>
    <col min="6906" max="7131" width="9.06640625" style="286"/>
    <col min="7132" max="7132" width="0" style="286" hidden="1" customWidth="1"/>
    <col min="7133" max="7133" width="4.46484375" style="286" customWidth="1"/>
    <col min="7134" max="7134" width="26.73046875" style="286" customWidth="1"/>
    <col min="7135" max="7135" width="0.59765625" style="286" customWidth="1"/>
    <col min="7136" max="7161" width="9.73046875" style="286" customWidth="1"/>
    <col min="7162" max="7387" width="9.06640625" style="286"/>
    <col min="7388" max="7388" width="0" style="286" hidden="1" customWidth="1"/>
    <col min="7389" max="7389" width="4.46484375" style="286" customWidth="1"/>
    <col min="7390" max="7390" width="26.73046875" style="286" customWidth="1"/>
    <col min="7391" max="7391" width="0.59765625" style="286" customWidth="1"/>
    <col min="7392" max="7417" width="9.73046875" style="286" customWidth="1"/>
    <col min="7418" max="7643" width="9.06640625" style="286"/>
    <col min="7644" max="7644" width="0" style="286" hidden="1" customWidth="1"/>
    <col min="7645" max="7645" width="4.46484375" style="286" customWidth="1"/>
    <col min="7646" max="7646" width="26.73046875" style="286" customWidth="1"/>
    <col min="7647" max="7647" width="0.59765625" style="286" customWidth="1"/>
    <col min="7648" max="7673" width="9.73046875" style="286" customWidth="1"/>
    <col min="7674" max="7899" width="9.06640625" style="286"/>
    <col min="7900" max="7900" width="0" style="286" hidden="1" customWidth="1"/>
    <col min="7901" max="7901" width="4.46484375" style="286" customWidth="1"/>
    <col min="7902" max="7902" width="26.73046875" style="286" customWidth="1"/>
    <col min="7903" max="7903" width="0.59765625" style="286" customWidth="1"/>
    <col min="7904" max="7929" width="9.73046875" style="286" customWidth="1"/>
    <col min="7930" max="8155" width="9.06640625" style="286"/>
    <col min="8156" max="8156" width="0" style="286" hidden="1" customWidth="1"/>
    <col min="8157" max="8157" width="4.46484375" style="286" customWidth="1"/>
    <col min="8158" max="8158" width="26.73046875" style="286" customWidth="1"/>
    <col min="8159" max="8159" width="0.59765625" style="286" customWidth="1"/>
    <col min="8160" max="8185" width="9.73046875" style="286" customWidth="1"/>
    <col min="8186" max="8411" width="9.06640625" style="286"/>
    <col min="8412" max="8412" width="0" style="286" hidden="1" customWidth="1"/>
    <col min="8413" max="8413" width="4.46484375" style="286" customWidth="1"/>
    <col min="8414" max="8414" width="26.73046875" style="286" customWidth="1"/>
    <col min="8415" max="8415" width="0.59765625" style="286" customWidth="1"/>
    <col min="8416" max="8441" width="9.73046875" style="286" customWidth="1"/>
    <col min="8442" max="8667" width="9.06640625" style="286"/>
    <col min="8668" max="8668" width="0" style="286" hidden="1" customWidth="1"/>
    <col min="8669" max="8669" width="4.46484375" style="286" customWidth="1"/>
    <col min="8670" max="8670" width="26.73046875" style="286" customWidth="1"/>
    <col min="8671" max="8671" width="0.59765625" style="286" customWidth="1"/>
    <col min="8672" max="8697" width="9.73046875" style="286" customWidth="1"/>
    <col min="8698" max="8923" width="9.06640625" style="286"/>
    <col min="8924" max="8924" width="0" style="286" hidden="1" customWidth="1"/>
    <col min="8925" max="8925" width="4.46484375" style="286" customWidth="1"/>
    <col min="8926" max="8926" width="26.73046875" style="286" customWidth="1"/>
    <col min="8927" max="8927" width="0.59765625" style="286" customWidth="1"/>
    <col min="8928" max="8953" width="9.73046875" style="286" customWidth="1"/>
    <col min="8954" max="9179" width="9.06640625" style="286"/>
    <col min="9180" max="9180" width="0" style="286" hidden="1" customWidth="1"/>
    <col min="9181" max="9181" width="4.46484375" style="286" customWidth="1"/>
    <col min="9182" max="9182" width="26.73046875" style="286" customWidth="1"/>
    <col min="9183" max="9183" width="0.59765625" style="286" customWidth="1"/>
    <col min="9184" max="9209" width="9.73046875" style="286" customWidth="1"/>
    <col min="9210" max="9435" width="9.06640625" style="286"/>
    <col min="9436" max="9436" width="0" style="286" hidden="1" customWidth="1"/>
    <col min="9437" max="9437" width="4.46484375" style="286" customWidth="1"/>
    <col min="9438" max="9438" width="26.73046875" style="286" customWidth="1"/>
    <col min="9439" max="9439" width="0.59765625" style="286" customWidth="1"/>
    <col min="9440" max="9465" width="9.73046875" style="286" customWidth="1"/>
    <col min="9466" max="9691" width="9.06640625" style="286"/>
    <col min="9692" max="9692" width="0" style="286" hidden="1" customWidth="1"/>
    <col min="9693" max="9693" width="4.46484375" style="286" customWidth="1"/>
    <col min="9694" max="9694" width="26.73046875" style="286" customWidth="1"/>
    <col min="9695" max="9695" width="0.59765625" style="286" customWidth="1"/>
    <col min="9696" max="9721" width="9.73046875" style="286" customWidth="1"/>
    <col min="9722" max="9947" width="9.06640625" style="286"/>
    <col min="9948" max="9948" width="0" style="286" hidden="1" customWidth="1"/>
    <col min="9949" max="9949" width="4.46484375" style="286" customWidth="1"/>
    <col min="9950" max="9950" width="26.73046875" style="286" customWidth="1"/>
    <col min="9951" max="9951" width="0.59765625" style="286" customWidth="1"/>
    <col min="9952" max="9977" width="9.73046875" style="286" customWidth="1"/>
    <col min="9978" max="10203" width="9.06640625" style="286"/>
    <col min="10204" max="10204" width="0" style="286" hidden="1" customWidth="1"/>
    <col min="10205" max="10205" width="4.46484375" style="286" customWidth="1"/>
    <col min="10206" max="10206" width="26.73046875" style="286" customWidth="1"/>
    <col min="10207" max="10207" width="0.59765625" style="286" customWidth="1"/>
    <col min="10208" max="10233" width="9.73046875" style="286" customWidth="1"/>
    <col min="10234" max="10459" width="9.06640625" style="286"/>
    <col min="10460" max="10460" width="0" style="286" hidden="1" customWidth="1"/>
    <col min="10461" max="10461" width="4.46484375" style="286" customWidth="1"/>
    <col min="10462" max="10462" width="26.73046875" style="286" customWidth="1"/>
    <col min="10463" max="10463" width="0.59765625" style="286" customWidth="1"/>
    <col min="10464" max="10489" width="9.73046875" style="286" customWidth="1"/>
    <col min="10490" max="10715" width="9.06640625" style="286"/>
    <col min="10716" max="10716" width="0" style="286" hidden="1" customWidth="1"/>
    <col min="10717" max="10717" width="4.46484375" style="286" customWidth="1"/>
    <col min="10718" max="10718" width="26.73046875" style="286" customWidth="1"/>
    <col min="10719" max="10719" width="0.59765625" style="286" customWidth="1"/>
    <col min="10720" max="10745" width="9.73046875" style="286" customWidth="1"/>
    <col min="10746" max="10971" width="9.06640625" style="286"/>
    <col min="10972" max="10972" width="0" style="286" hidden="1" customWidth="1"/>
    <col min="10973" max="10973" width="4.46484375" style="286" customWidth="1"/>
    <col min="10974" max="10974" width="26.73046875" style="286" customWidth="1"/>
    <col min="10975" max="10975" width="0.59765625" style="286" customWidth="1"/>
    <col min="10976" max="11001" width="9.73046875" style="286" customWidth="1"/>
    <col min="11002" max="11227" width="9.06640625" style="286"/>
    <col min="11228" max="11228" width="0" style="286" hidden="1" customWidth="1"/>
    <col min="11229" max="11229" width="4.46484375" style="286" customWidth="1"/>
    <col min="11230" max="11230" width="26.73046875" style="286" customWidth="1"/>
    <col min="11231" max="11231" width="0.59765625" style="286" customWidth="1"/>
    <col min="11232" max="11257" width="9.73046875" style="286" customWidth="1"/>
    <col min="11258" max="11483" width="9.06640625" style="286"/>
    <col min="11484" max="11484" width="0" style="286" hidden="1" customWidth="1"/>
    <col min="11485" max="11485" width="4.46484375" style="286" customWidth="1"/>
    <col min="11486" max="11486" width="26.73046875" style="286" customWidth="1"/>
    <col min="11487" max="11487" width="0.59765625" style="286" customWidth="1"/>
    <col min="11488" max="11513" width="9.73046875" style="286" customWidth="1"/>
    <col min="11514" max="11739" width="9.06640625" style="286"/>
    <col min="11740" max="11740" width="0" style="286" hidden="1" customWidth="1"/>
    <col min="11741" max="11741" width="4.46484375" style="286" customWidth="1"/>
    <col min="11742" max="11742" width="26.73046875" style="286" customWidth="1"/>
    <col min="11743" max="11743" width="0.59765625" style="286" customWidth="1"/>
    <col min="11744" max="11769" width="9.73046875" style="286" customWidth="1"/>
    <col min="11770" max="11995" width="9.06640625" style="286"/>
    <col min="11996" max="11996" width="0" style="286" hidden="1" customWidth="1"/>
    <col min="11997" max="11997" width="4.46484375" style="286" customWidth="1"/>
    <col min="11998" max="11998" width="26.73046875" style="286" customWidth="1"/>
    <col min="11999" max="11999" width="0.59765625" style="286" customWidth="1"/>
    <col min="12000" max="12025" width="9.73046875" style="286" customWidth="1"/>
    <col min="12026" max="12251" width="9.06640625" style="286"/>
    <col min="12252" max="12252" width="0" style="286" hidden="1" customWidth="1"/>
    <col min="12253" max="12253" width="4.46484375" style="286" customWidth="1"/>
    <col min="12254" max="12254" width="26.73046875" style="286" customWidth="1"/>
    <col min="12255" max="12255" width="0.59765625" style="286" customWidth="1"/>
    <col min="12256" max="12281" width="9.73046875" style="286" customWidth="1"/>
    <col min="12282" max="12507" width="9.06640625" style="286"/>
    <col min="12508" max="12508" width="0" style="286" hidden="1" customWidth="1"/>
    <col min="12509" max="12509" width="4.46484375" style="286" customWidth="1"/>
    <col min="12510" max="12510" width="26.73046875" style="286" customWidth="1"/>
    <col min="12511" max="12511" width="0.59765625" style="286" customWidth="1"/>
    <col min="12512" max="12537" width="9.73046875" style="286" customWidth="1"/>
    <col min="12538" max="12763" width="9.06640625" style="286"/>
    <col min="12764" max="12764" width="0" style="286" hidden="1" customWidth="1"/>
    <col min="12765" max="12765" width="4.46484375" style="286" customWidth="1"/>
    <col min="12766" max="12766" width="26.73046875" style="286" customWidth="1"/>
    <col min="12767" max="12767" width="0.59765625" style="286" customWidth="1"/>
    <col min="12768" max="12793" width="9.73046875" style="286" customWidth="1"/>
    <col min="12794" max="13019" width="9.06640625" style="286"/>
    <col min="13020" max="13020" width="0" style="286" hidden="1" customWidth="1"/>
    <col min="13021" max="13021" width="4.46484375" style="286" customWidth="1"/>
    <col min="13022" max="13022" width="26.73046875" style="286" customWidth="1"/>
    <col min="13023" max="13023" width="0.59765625" style="286" customWidth="1"/>
    <col min="13024" max="13049" width="9.73046875" style="286" customWidth="1"/>
    <col min="13050" max="13275" width="9.06640625" style="286"/>
    <col min="13276" max="13276" width="0" style="286" hidden="1" customWidth="1"/>
    <col min="13277" max="13277" width="4.46484375" style="286" customWidth="1"/>
    <col min="13278" max="13278" width="26.73046875" style="286" customWidth="1"/>
    <col min="13279" max="13279" width="0.59765625" style="286" customWidth="1"/>
    <col min="13280" max="13305" width="9.73046875" style="286" customWidth="1"/>
    <col min="13306" max="13531" width="9.06640625" style="286"/>
    <col min="13532" max="13532" width="0" style="286" hidden="1" customWidth="1"/>
    <col min="13533" max="13533" width="4.46484375" style="286" customWidth="1"/>
    <col min="13534" max="13534" width="26.73046875" style="286" customWidth="1"/>
    <col min="13535" max="13535" width="0.59765625" style="286" customWidth="1"/>
    <col min="13536" max="13561" width="9.73046875" style="286" customWidth="1"/>
    <col min="13562" max="13787" width="9.06640625" style="286"/>
    <col min="13788" max="13788" width="0" style="286" hidden="1" customWidth="1"/>
    <col min="13789" max="13789" width="4.46484375" style="286" customWidth="1"/>
    <col min="13790" max="13790" width="26.73046875" style="286" customWidth="1"/>
    <col min="13791" max="13791" width="0.59765625" style="286" customWidth="1"/>
    <col min="13792" max="13817" width="9.73046875" style="286" customWidth="1"/>
    <col min="13818" max="14043" width="9.06640625" style="286"/>
    <col min="14044" max="14044" width="0" style="286" hidden="1" customWidth="1"/>
    <col min="14045" max="14045" width="4.46484375" style="286" customWidth="1"/>
    <col min="14046" max="14046" width="26.73046875" style="286" customWidth="1"/>
    <col min="14047" max="14047" width="0.59765625" style="286" customWidth="1"/>
    <col min="14048" max="14073" width="9.73046875" style="286" customWidth="1"/>
    <col min="14074" max="14299" width="9.06640625" style="286"/>
    <col min="14300" max="14300" width="0" style="286" hidden="1" customWidth="1"/>
    <col min="14301" max="14301" width="4.46484375" style="286" customWidth="1"/>
    <col min="14302" max="14302" width="26.73046875" style="286" customWidth="1"/>
    <col min="14303" max="14303" width="0.59765625" style="286" customWidth="1"/>
    <col min="14304" max="14329" width="9.73046875" style="286" customWidth="1"/>
    <col min="14330" max="14555" width="9.06640625" style="286"/>
    <col min="14556" max="14556" width="0" style="286" hidden="1" customWidth="1"/>
    <col min="14557" max="14557" width="4.46484375" style="286" customWidth="1"/>
    <col min="14558" max="14558" width="26.73046875" style="286" customWidth="1"/>
    <col min="14559" max="14559" width="0.59765625" style="286" customWidth="1"/>
    <col min="14560" max="14585" width="9.73046875" style="286" customWidth="1"/>
    <col min="14586" max="14811" width="9.06640625" style="286"/>
    <col min="14812" max="14812" width="0" style="286" hidden="1" customWidth="1"/>
    <col min="14813" max="14813" width="4.46484375" style="286" customWidth="1"/>
    <col min="14814" max="14814" width="26.73046875" style="286" customWidth="1"/>
    <col min="14815" max="14815" width="0.59765625" style="286" customWidth="1"/>
    <col min="14816" max="14841" width="9.73046875" style="286" customWidth="1"/>
    <col min="14842" max="15067" width="9.06640625" style="286"/>
    <col min="15068" max="15068" width="0" style="286" hidden="1" customWidth="1"/>
    <col min="15069" max="15069" width="4.46484375" style="286" customWidth="1"/>
    <col min="15070" max="15070" width="26.73046875" style="286" customWidth="1"/>
    <col min="15071" max="15071" width="0.59765625" style="286" customWidth="1"/>
    <col min="15072" max="15097" width="9.73046875" style="286" customWidth="1"/>
    <col min="15098" max="15323" width="9.06640625" style="286"/>
    <col min="15324" max="15324" width="0" style="286" hidden="1" customWidth="1"/>
    <col min="15325" max="15325" width="4.46484375" style="286" customWidth="1"/>
    <col min="15326" max="15326" width="26.73046875" style="286" customWidth="1"/>
    <col min="15327" max="15327" width="0.59765625" style="286" customWidth="1"/>
    <col min="15328" max="15353" width="9.73046875" style="286" customWidth="1"/>
    <col min="15354" max="15579" width="9.06640625" style="286"/>
    <col min="15580" max="15580" width="0" style="286" hidden="1" customWidth="1"/>
    <col min="15581" max="15581" width="4.46484375" style="286" customWidth="1"/>
    <col min="15582" max="15582" width="26.73046875" style="286" customWidth="1"/>
    <col min="15583" max="15583" width="0.59765625" style="286" customWidth="1"/>
    <col min="15584" max="15609" width="9.73046875" style="286" customWidth="1"/>
    <col min="15610" max="15835" width="9.06640625" style="286"/>
    <col min="15836" max="15836" width="0" style="286" hidden="1" customWidth="1"/>
    <col min="15837" max="15837" width="4.46484375" style="286" customWidth="1"/>
    <col min="15838" max="15838" width="26.73046875" style="286" customWidth="1"/>
    <col min="15839" max="15839" width="0.59765625" style="286" customWidth="1"/>
    <col min="15840" max="15865" width="9.73046875" style="286" customWidth="1"/>
    <col min="15866" max="16091" width="9.06640625" style="286"/>
    <col min="16092" max="16092" width="0" style="286" hidden="1" customWidth="1"/>
    <col min="16093" max="16093" width="4.46484375" style="286" customWidth="1"/>
    <col min="16094" max="16094" width="26.73046875" style="286" customWidth="1"/>
    <col min="16095" max="16095" width="0.59765625" style="286" customWidth="1"/>
    <col min="16096" max="16121" width="9.73046875" style="286" customWidth="1"/>
    <col min="16122" max="16384" width="9.06640625" style="286"/>
  </cols>
  <sheetData>
    <row r="1" spans="1:11" s="291" customFormat="1" x14ac:dyDescent="0.35">
      <c r="A1" s="290" t="s">
        <v>269</v>
      </c>
      <c r="C1" s="292" t="s">
        <v>555</v>
      </c>
      <c r="D1" s="292"/>
    </row>
    <row r="2" spans="1:11" s="291" customFormat="1" x14ac:dyDescent="0.35">
      <c r="A2" s="290" t="s">
        <v>271</v>
      </c>
      <c r="C2" s="292" t="s">
        <v>556</v>
      </c>
      <c r="D2" s="292"/>
    </row>
    <row r="3" spans="1:11" s="291" customFormat="1" x14ac:dyDescent="0.35">
      <c r="A3" s="290" t="s">
        <v>273</v>
      </c>
      <c r="C3" s="292" t="s">
        <v>274</v>
      </c>
      <c r="D3" s="292"/>
    </row>
    <row r="4" spans="1:11" s="291" customFormat="1" ht="12.75" hidden="1" x14ac:dyDescent="0.35">
      <c r="B4" s="290"/>
      <c r="C4" s="293"/>
      <c r="D4" s="292"/>
    </row>
    <row r="5" spans="1:11" s="291" customFormat="1" hidden="1" x14ac:dyDescent="0.4">
      <c r="B5" s="290"/>
      <c r="C5" s="294"/>
      <c r="D5" s="292"/>
    </row>
    <row r="6" spans="1:11" s="298" customFormat="1" x14ac:dyDescent="0.4">
      <c r="A6" s="295"/>
      <c r="B6" s="296"/>
      <c r="C6" s="297" t="str">
        <f>[2]!to_tradecode(C1)</f>
        <v>601328</v>
      </c>
      <c r="E6" s="282">
        <v>40908</v>
      </c>
      <c r="F6" s="282">
        <v>41274</v>
      </c>
      <c r="G6" s="282">
        <v>41639</v>
      </c>
      <c r="H6" s="282">
        <v>42004</v>
      </c>
      <c r="I6" s="282">
        <v>42369</v>
      </c>
      <c r="J6" s="282">
        <v>42735</v>
      </c>
      <c r="K6" s="282">
        <v>42825</v>
      </c>
    </row>
    <row r="7" spans="1:11" s="299" customFormat="1" ht="2.25" customHeight="1" x14ac:dyDescent="0.35">
      <c r="B7" s="300"/>
      <c r="C7" s="301"/>
      <c r="E7" s="302"/>
      <c r="F7" s="302"/>
      <c r="G7" s="302"/>
      <c r="H7" s="302"/>
      <c r="I7" s="302"/>
      <c r="J7" s="302"/>
      <c r="K7" s="302"/>
    </row>
    <row r="8" spans="1:11" s="299" customFormat="1" x14ac:dyDescent="0.35">
      <c r="B8" s="303" t="s">
        <v>275</v>
      </c>
      <c r="C8" s="301"/>
      <c r="E8" s="302"/>
      <c r="F8" s="302"/>
      <c r="G8" s="302"/>
      <c r="H8" s="302"/>
      <c r="I8" s="302"/>
      <c r="J8" s="302"/>
      <c r="K8" s="302"/>
    </row>
    <row r="9" spans="1:11" ht="13.9" thickBot="1" x14ac:dyDescent="0.45">
      <c r="C9" s="304" t="s">
        <v>276</v>
      </c>
      <c r="E9" s="305">
        <v>2011</v>
      </c>
      <c r="F9" s="305">
        <v>2012</v>
      </c>
      <c r="G9" s="305">
        <v>2013</v>
      </c>
      <c r="H9" s="305">
        <v>2014</v>
      </c>
      <c r="I9" s="305">
        <v>2015</v>
      </c>
      <c r="J9" s="306">
        <v>2016</v>
      </c>
      <c r="K9" s="307" t="s">
        <v>38</v>
      </c>
    </row>
    <row r="10" spans="1:11" ht="13.5" x14ac:dyDescent="0.4">
      <c r="C10" s="308" t="s">
        <v>277</v>
      </c>
      <c r="E10" s="603">
        <f>[2]!s_stm07_bs($C$6,"W66934046",E6,1,1000000)</f>
        <v>736999</v>
      </c>
      <c r="F10" s="603">
        <f>[2]!s_stm07_bs($C$6,"W66934046",F6,1,1000000)</f>
        <v>816846</v>
      </c>
      <c r="G10" s="603">
        <f>[2]!s_stm07_bs($C$6,"W66934046",G6,1,1000000)</f>
        <v>896556</v>
      </c>
      <c r="H10" s="603">
        <f>[2]!s_stm07_bs($C$6,"W66934046",H6,1,1000000)</f>
        <v>938055</v>
      </c>
      <c r="I10" s="603">
        <f>[2]!s_stm07_bs($C$6,"W66934046",I6,1,1000000)</f>
        <v>920228</v>
      </c>
      <c r="J10" s="603">
        <f>[2]!s_stm07_bs($C$6,"W66934046",J6,1,1000000)</f>
        <v>991435</v>
      </c>
      <c r="K10" s="603">
        <f>[2]!s_stm07_bs($C$6,"W66934046",K6,1,1000000)</f>
        <v>1010524</v>
      </c>
    </row>
    <row r="11" spans="1:11" ht="13.5" x14ac:dyDescent="0.4">
      <c r="C11" s="310" t="s">
        <v>278</v>
      </c>
      <c r="E11" s="603">
        <f>[2]!s_stm07_bs($C$6,"W49786054",E6,1,1000000)</f>
        <v>96605</v>
      </c>
      <c r="F11" s="603">
        <f>[2]!s_stm07_bs($C$6,"W49786054",F6,1,1000000)</f>
        <v>172322</v>
      </c>
      <c r="G11" s="603">
        <f>[2]!s_stm07_bs($C$6,"W49786054",G6,1,1000000)</f>
        <v>97415</v>
      </c>
      <c r="H11" s="603">
        <f>[2]!s_stm07_bs($C$6,"W49786054",H6,1,1000000)</f>
        <v>174261</v>
      </c>
      <c r="I11" s="603">
        <f>[2]!s_stm07_bs($C$6,"W49786054",I6,1,1000000)</f>
        <v>178087</v>
      </c>
      <c r="J11" s="603">
        <f>[2]!s_stm07_bs($C$6,"W49786054",J6,1,1000000)</f>
        <v>179953</v>
      </c>
      <c r="K11" s="603">
        <f>[2]!s_stm07_bs($C$6,"W49786054",K6,1,1000000)</f>
        <v>182838</v>
      </c>
    </row>
    <row r="12" spans="1:11" ht="13.5" x14ac:dyDescent="0.4">
      <c r="C12" s="310" t="s">
        <v>279</v>
      </c>
      <c r="E12" s="603">
        <f>[2]!s_stm07_bs($C$6,"W45840830",E6,1,1000000)</f>
        <v>0</v>
      </c>
      <c r="F12" s="603">
        <f>[2]!s_stm07_bs($C$6,"W45840830",F6,1,1000000)</f>
        <v>0</v>
      </c>
      <c r="G12" s="603">
        <f>[2]!s_stm07_bs($C$6,"W45840830",G6,1,1000000)</f>
        <v>0</v>
      </c>
      <c r="H12" s="603">
        <f>[2]!s_stm07_bs($C$6,"W45840830",H6,1,1000000)</f>
        <v>0</v>
      </c>
      <c r="I12" s="603">
        <f>[2]!s_stm07_bs($C$6,"W45840830",I6,1,1000000)</f>
        <v>0</v>
      </c>
      <c r="J12" s="603">
        <f>[2]!s_stm07_bs($C$6,"W45840830",J6,1,1000000)</f>
        <v>0</v>
      </c>
      <c r="K12" s="603">
        <f>[2]!s_stm07_bs($C$6,"W45840830",K6,1,1000000)</f>
        <v>0</v>
      </c>
    </row>
    <row r="13" spans="1:11" ht="13.5" x14ac:dyDescent="0.4">
      <c r="C13" s="310" t="s">
        <v>280</v>
      </c>
      <c r="E13" s="603">
        <f>[2]!s_stm07_bs($C$6,"W43801822",E6,1,1000000)</f>
        <v>148726</v>
      </c>
      <c r="F13" s="603">
        <f>[2]!s_stm07_bs($C$6,"W43801822",F6,1,1000000)</f>
        <v>153787</v>
      </c>
      <c r="G13" s="603">
        <f>[2]!s_stm07_bs($C$6,"W43801822",G6,1,1000000)</f>
        <v>197057</v>
      </c>
      <c r="H13" s="603">
        <f>[2]!s_stm07_bs($C$6,"W43801822",H6,1,1000000)</f>
        <v>172318</v>
      </c>
      <c r="I13" s="603">
        <f>[2]!s_stm07_bs($C$6,"W43801822",I6,1,1000000)</f>
        <v>356812</v>
      </c>
      <c r="J13" s="603">
        <f>[2]!s_stm07_bs($C$6,"W43801822",J6,1,1000000)</f>
        <v>467791</v>
      </c>
      <c r="K13" s="603">
        <f>[2]!s_stm07_bs($C$6,"W43801822",K6,1,1000000)</f>
        <v>438515</v>
      </c>
    </row>
    <row r="14" spans="1:11" ht="13.5" x14ac:dyDescent="0.4">
      <c r="C14" s="310" t="s">
        <v>281</v>
      </c>
      <c r="E14" s="603">
        <f>[2]!s_stm07_bs($C$6,"W43784834",E6,1,1000000)</f>
        <v>42837</v>
      </c>
      <c r="F14" s="603">
        <f>[2]!s_stm07_bs($C$6,"W43784834",F6,1,1000000)</f>
        <v>45683</v>
      </c>
      <c r="G14" s="603">
        <f>[2]!s_stm07_bs($C$6,"W43784834",G6,1,1000000)</f>
        <v>59083</v>
      </c>
      <c r="H14" s="603">
        <f>[2]!s_stm07_bs($C$6,"W43784834",H6,1,1000000)</f>
        <v>105702</v>
      </c>
      <c r="I14" s="603">
        <f>[2]!s_stm07_bs($C$6,"W43784834",I6,1,1000000)</f>
        <v>138999</v>
      </c>
      <c r="J14" s="603">
        <f>[2]!s_stm07_bs($C$6,"W43784834",J6,1,1000000)</f>
        <v>179221</v>
      </c>
      <c r="K14" s="603">
        <f>[2]!s_stm07_bs($C$6,"W43784834",K6,1,1000000)</f>
        <v>211891</v>
      </c>
    </row>
    <row r="15" spans="1:11" ht="13.5" x14ac:dyDescent="0.4">
      <c r="C15" s="310" t="s">
        <v>282</v>
      </c>
      <c r="E15" s="603">
        <f>[2]!s_stm07_bs($C$6,"W42630904",E6,1,1000000)</f>
        <v>5585</v>
      </c>
      <c r="F15" s="603">
        <f>[2]!s_stm07_bs($C$6,"W42630904",F6,1,1000000)</f>
        <v>6478</v>
      </c>
      <c r="G15" s="603">
        <f>[2]!s_stm07_bs($C$6,"W42630904",G6,1,1000000)</f>
        <v>14227</v>
      </c>
      <c r="H15" s="603">
        <f>[2]!s_stm07_bs($C$6,"W42630904",H6,1,1000000)</f>
        <v>10656</v>
      </c>
      <c r="I15" s="603">
        <f>[2]!s_stm07_bs($C$6,"W42630904",I6,1,1000000)</f>
        <v>34310</v>
      </c>
      <c r="J15" s="603">
        <f>[2]!s_stm07_bs($C$6,"W42630904",J6,1,1000000)</f>
        <v>37223</v>
      </c>
      <c r="K15" s="603">
        <f>[2]!s_stm07_bs($C$6,"W42630904",K6,1,1000000)</f>
        <v>20955</v>
      </c>
    </row>
    <row r="16" spans="1:11" ht="13.5" x14ac:dyDescent="0.4">
      <c r="C16" s="310" t="s">
        <v>283</v>
      </c>
      <c r="E16" s="603">
        <f>[2]!s_stm07_bs($C$6,"W49720400",E6,1,1000000)</f>
        <v>197909</v>
      </c>
      <c r="F16" s="603">
        <f>[2]!s_stm07_bs($C$6,"W49720400",F6,1,1000000)</f>
        <v>194854</v>
      </c>
      <c r="G16" s="603">
        <f>[2]!s_stm07_bs($C$6,"W49720400",G6,1,1000000)</f>
        <v>271957</v>
      </c>
      <c r="H16" s="603">
        <f>[2]!s_stm07_bs($C$6,"W49720400",H6,1,1000000)</f>
        <v>178454</v>
      </c>
      <c r="I16" s="603">
        <f>[2]!s_stm07_bs($C$6,"W49720400",I6,1,1000000)</f>
        <v>76292</v>
      </c>
      <c r="J16" s="603">
        <f>[2]!s_stm07_bs($C$6,"W49720400",J6,1,1000000)</f>
        <v>68043</v>
      </c>
      <c r="K16" s="603">
        <f>[2]!s_stm07_bs($C$6,"W49720400",K6,1,1000000)</f>
        <v>75150</v>
      </c>
    </row>
    <row r="17" spans="3:11" ht="13.5" x14ac:dyDescent="0.4">
      <c r="C17" s="310" t="s">
        <v>284</v>
      </c>
      <c r="E17" s="603">
        <f>[2]!s_stm07_bs($C$6,"W47342125",E6,1,1000000)</f>
        <v>19773</v>
      </c>
      <c r="F17" s="603">
        <f>[2]!s_stm07_bs($C$6,"W47342125",F6,1,1000000)</f>
        <v>24225</v>
      </c>
      <c r="G17" s="603">
        <f>[2]!s_stm07_bs($C$6,"W47342125",G6,1,1000000)</f>
        <v>29809</v>
      </c>
      <c r="H17" s="603">
        <f>[2]!s_stm07_bs($C$6,"W47342125",H6,1,1000000)</f>
        <v>34790</v>
      </c>
      <c r="I17" s="603">
        <f>[2]!s_stm07_bs($C$6,"W47342125",I6,1,1000000)</f>
        <v>41533</v>
      </c>
      <c r="J17" s="603">
        <f>[2]!s_stm07_bs($C$6,"W47342125",J6,1,1000000)</f>
        <v>47803</v>
      </c>
      <c r="K17" s="603">
        <f>[2]!s_stm07_bs($C$6,"W47342125",K6,1,1000000)</f>
        <v>51809</v>
      </c>
    </row>
    <row r="18" spans="3:11" ht="13.5" x14ac:dyDescent="0.4">
      <c r="C18" s="310" t="s">
        <v>285</v>
      </c>
      <c r="E18" s="603">
        <f>[2]!s_stm07_bs($C$6,"W47456352",E6,1,1000000)</f>
        <v>2505385</v>
      </c>
      <c r="F18" s="603">
        <f>[2]!s_stm07_bs($C$6,"W47456352",F6,1,1000000)</f>
        <v>2879628</v>
      </c>
      <c r="G18" s="603">
        <f>[2]!s_stm07_bs($C$6,"W47456352",G6,1,1000000)</f>
        <v>3193063</v>
      </c>
      <c r="H18" s="603">
        <f>[2]!s_stm07_bs($C$6,"W47456352",H6,1,1000000)</f>
        <v>3354787</v>
      </c>
      <c r="I18" s="603">
        <f>[2]!s_stm07_bs($C$6,"W47456352",I6,1,1000000)</f>
        <v>3634568</v>
      </c>
      <c r="J18" s="603">
        <f>[2]!s_stm07_bs($C$6,"W47456352",J6,1,1000000)</f>
        <v>4009046</v>
      </c>
      <c r="K18" s="603">
        <f>[2]!s_stm07_bs($C$6,"W47456352",K6,1,1000000)</f>
        <v>4244850</v>
      </c>
    </row>
    <row r="19" spans="3:11" ht="13.5" x14ac:dyDescent="0.4">
      <c r="C19" s="310" t="s">
        <v>286</v>
      </c>
      <c r="E19" s="603">
        <f>[2]!s_stm07_bs($C$6,"W47556526",E6,1,1000000)</f>
        <v>183336</v>
      </c>
      <c r="F19" s="603">
        <f>[2]!s_stm07_bs($C$6,"W47556526",F6,1,1000000)</f>
        <v>203752</v>
      </c>
      <c r="G19" s="603">
        <f>[2]!s_stm07_bs($C$6,"W47556526",G6,1,1000000)</f>
        <v>220397</v>
      </c>
      <c r="H19" s="603">
        <f>[2]!s_stm07_bs($C$6,"W47556526",H6,1,1000000)</f>
        <v>210016</v>
      </c>
      <c r="I19" s="603">
        <f>[2]!s_stm07_bs($C$6,"W47556526",I6,1,1000000)</f>
        <v>264739</v>
      </c>
      <c r="J19" s="603">
        <f>[2]!s_stm07_bs($C$6,"W47556526",J6,1,1000000)</f>
        <v>342755</v>
      </c>
      <c r="K19" s="603">
        <f>[2]!s_stm07_bs($C$6,"W47556526",K6,1,1000000)</f>
        <v>384465</v>
      </c>
    </row>
    <row r="20" spans="3:11" ht="13.5" x14ac:dyDescent="0.4">
      <c r="C20" s="310" t="s">
        <v>287</v>
      </c>
      <c r="E20" s="603">
        <f>[2]!s_stm07_bs($C$6,"W40712817",E6,1,1000000)</f>
        <v>544761</v>
      </c>
      <c r="F20" s="603">
        <f>[2]!s_stm07_bs($C$6,"W40712817",F6,1,1000000)</f>
        <v>598615</v>
      </c>
      <c r="G20" s="603">
        <f>[2]!s_stm07_bs($C$6,"W40712817",G6,1,1000000)</f>
        <v>670615</v>
      </c>
      <c r="H20" s="603">
        <f>[2]!s_stm07_bs($C$6,"W40712817",H6,1,1000000)</f>
        <v>635570</v>
      </c>
      <c r="I20" s="603">
        <f>[2]!s_stm07_bs($C$6,"W40712817",I6,1,1000000)</f>
        <v>933683</v>
      </c>
      <c r="J20" s="603">
        <f>[2]!s_stm07_bs($C$6,"W40712817",J6,1,1000000)</f>
        <v>1407449</v>
      </c>
      <c r="K20" s="603">
        <f>[2]!s_stm07_bs($C$6,"W40712817",K6,1,1000000)</f>
        <v>1413756</v>
      </c>
    </row>
    <row r="21" spans="3:11" ht="13.5" x14ac:dyDescent="0.4">
      <c r="C21" s="310" t="s">
        <v>288</v>
      </c>
      <c r="E21" s="603">
        <f>[2]!s_stm07_bs($C$6,"155",E6,1,1000000)</f>
        <v>28256</v>
      </c>
      <c r="F21" s="603">
        <f>[2]!s_stm07_bs($C$6,"155",F6,1,1000000)</f>
        <v>30395</v>
      </c>
      <c r="G21" s="603">
        <f>[2]!s_stm07_bs($C$6,"155",G6,1,1000000)</f>
        <v>119726</v>
      </c>
      <c r="H21" s="603">
        <f>[2]!s_stm07_bs($C$6,"155",H6,1,1000000)</f>
        <v>211588</v>
      </c>
      <c r="I21" s="603">
        <f>[2]!s_stm07_bs($C$6,"155",I6,1,1000000)</f>
        <v>323679</v>
      </c>
      <c r="J21" s="603">
        <f>[2]!s_stm07_bs($C$6,"155",J6,1,1000000)</f>
        <v>385020</v>
      </c>
      <c r="K21" s="603">
        <f>[2]!s_stm07_bs($C$6,"155",K6,1,1000000)</f>
        <v>398746</v>
      </c>
    </row>
    <row r="22" spans="3:11" ht="13.5" x14ac:dyDescent="0.4">
      <c r="C22" s="310" t="s">
        <v>289</v>
      </c>
      <c r="E22" s="603"/>
      <c r="F22" s="603"/>
      <c r="G22" s="603"/>
      <c r="H22" s="603"/>
      <c r="I22" s="603"/>
      <c r="J22" s="603"/>
      <c r="K22" s="603"/>
    </row>
    <row r="23" spans="3:11" ht="13.5" x14ac:dyDescent="0.4">
      <c r="C23" s="310" t="s">
        <v>290</v>
      </c>
      <c r="E23" s="603">
        <f>[2]!s_stm07_bs($C$6,"W43362178",E6,1,1000000)</f>
        <v>1054</v>
      </c>
      <c r="F23" s="603">
        <f>[2]!s_stm07_bs($C$6,"W43362178",F6,1,1000000)</f>
        <v>1158</v>
      </c>
      <c r="G23" s="603">
        <f>[2]!s_stm07_bs($C$6,"W43362178",G6,1,1000000)</f>
        <v>1200</v>
      </c>
      <c r="H23" s="603">
        <f>[2]!s_stm07_bs($C$6,"W43362178",H6,1,1000000)</f>
        <v>547</v>
      </c>
      <c r="I23" s="603">
        <f>[2]!s_stm07_bs($C$6,"W43362178",I6,1,1000000)</f>
        <v>577</v>
      </c>
      <c r="J23" s="603">
        <f>[2]!s_stm07_bs($C$6,"W43362178",J6,1,1000000)</f>
        <v>714</v>
      </c>
      <c r="K23" s="603">
        <f>[2]!s_stm07_bs($C$6,"W43362178",K6,1,1000000)</f>
        <v>749</v>
      </c>
    </row>
    <row r="24" spans="3:11" ht="13.5" x14ac:dyDescent="0.4">
      <c r="C24" s="310" t="s">
        <v>291</v>
      </c>
      <c r="E24" s="603">
        <f>[2]!s_stm07_bs($C$6,"W44672706",E6,1,1000000)</f>
        <v>37017</v>
      </c>
      <c r="F24" s="603">
        <f>[2]!s_stm07_bs($C$6,"W44672706",F6,1,1000000)</f>
        <v>45536</v>
      </c>
      <c r="G24" s="603">
        <f>[2]!s_stm07_bs($C$6,"W44672706",G6,1,1000000)</f>
        <v>57179</v>
      </c>
      <c r="H24" s="603">
        <f>[2]!s_stm07_bs($C$6,"W44672706",H6,1,1000000)</f>
        <v>69767</v>
      </c>
      <c r="I24" s="603">
        <f>[2]!s_stm07_bs($C$6,"W44672706",I6,1,1000000)</f>
        <v>90393</v>
      </c>
      <c r="J24" s="603">
        <f>[2]!s_stm07_bs($C$6,"W44672706",J6,1,1000000)</f>
        <v>114425</v>
      </c>
      <c r="K24" s="603">
        <f>[2]!s_stm07_bs($C$6,"W44672706",K6,1,1000000)</f>
        <v>116600</v>
      </c>
    </row>
    <row r="25" spans="3:11" ht="13.5" x14ac:dyDescent="0.4">
      <c r="C25" s="286" t="s">
        <v>557</v>
      </c>
      <c r="E25" s="459">
        <f>[2]!s_stm07_bs($C$6,"W14444311",E6,1,1000000)</f>
        <v>196</v>
      </c>
      <c r="F25" s="459">
        <f>[2]!s_stm07_bs($C$6,"W14444311",F6,1,1000000)</f>
        <v>182</v>
      </c>
      <c r="G25" s="459">
        <f>[2]!s_stm07_bs($C$6,"W14444311",G6,1,1000000)</f>
        <v>194</v>
      </c>
      <c r="H25" s="459">
        <f>[2]!s_stm07_bs($C$6,"W14444311",H6,1,1000000)</f>
        <v>7276</v>
      </c>
      <c r="I25" s="459">
        <f>[2]!s_stm07_bs($C$6,"W14444311",I6,1,1000000)</f>
        <v>5634</v>
      </c>
      <c r="J25" s="459">
        <f>[2]!s_stm07_bs($C$6,"W14444311",J6,1,1000000)</f>
        <v>8762</v>
      </c>
      <c r="K25" s="459">
        <f>[2]!s_stm07_bs($C$6,"W14444311",K6,1,1000000)</f>
        <v>8797</v>
      </c>
    </row>
    <row r="26" spans="3:11" ht="13.5" x14ac:dyDescent="0.4">
      <c r="C26" s="286" t="s">
        <v>293</v>
      </c>
      <c r="E26" s="603">
        <f>[2]!s_stm07_bs($C$6,"W45280150",E6,1,1000000)</f>
        <v>1165</v>
      </c>
      <c r="F26" s="603">
        <f>[2]!s_stm07_bs($C$6,"W45280150",F6,1,1000000)</f>
        <v>1363</v>
      </c>
      <c r="G26" s="603">
        <f>[2]!s_stm07_bs($C$6,"W45280150",G6,1,1000000)</f>
        <v>1461</v>
      </c>
      <c r="H26" s="603">
        <f>[2]!s_stm07_bs($C$6,"W45280150",H6,1,1000000)</f>
        <v>1707</v>
      </c>
      <c r="I26" s="603">
        <f>[2]!s_stm07_bs($C$6,"W45280150",I6,1,1000000)</f>
        <v>2059</v>
      </c>
      <c r="J26" s="603">
        <f>[2]!s_stm07_bs($C$6,"W45280150",J6,1,1000000)</f>
        <v>2188</v>
      </c>
      <c r="K26" s="603">
        <f>[2]!s_stm07_bs($C$6,"W45280150",K6,1,1000000)</f>
        <v>2275</v>
      </c>
    </row>
    <row r="27" spans="3:11" ht="13.5" x14ac:dyDescent="0.4">
      <c r="C27" s="286" t="s">
        <v>294</v>
      </c>
      <c r="E27" s="603">
        <f>[2]!s_stm07_bs_39($C$6,E6,1,1000000)</f>
        <v>0</v>
      </c>
      <c r="F27" s="603">
        <f>[2]!s_stm07_bs_39($C$6,F6,1,1000000)</f>
        <v>0</v>
      </c>
      <c r="G27" s="603">
        <f>[2]!s_stm07_bs_39($C$6,G6,1,1000000)</f>
        <v>0</v>
      </c>
      <c r="H27" s="603">
        <f>[2]!s_stm07_bs_39($C$6,H6,1,1000000)</f>
        <v>0</v>
      </c>
      <c r="I27" s="603">
        <f>[2]!s_stm07_bs_39($C$6,I6,1,1000000)</f>
        <v>0</v>
      </c>
      <c r="J27" s="603">
        <f>[2]!s_stm07_bs_39($C$6,J6,1,1000000)</f>
        <v>0</v>
      </c>
      <c r="K27" s="603">
        <f>[2]!s_stm07_bs_39($C$6,K6,1,1000000)</f>
        <v>0</v>
      </c>
    </row>
    <row r="28" spans="3:11" ht="13.5" x14ac:dyDescent="0.4">
      <c r="C28" s="286" t="s">
        <v>295</v>
      </c>
      <c r="E28" s="603">
        <f>[2]!s_stm07_bs($C$6,"W41861522",E6,1,1000000)</f>
        <v>7926</v>
      </c>
      <c r="F28" s="603">
        <f>[2]!s_stm07_bs($C$6,"W41861522",F6,1,1000000)</f>
        <v>12501</v>
      </c>
      <c r="G28" s="603">
        <f>[2]!s_stm07_bs($C$6,"W41861522",G6,1,1000000)</f>
        <v>17224</v>
      </c>
      <c r="H28" s="603">
        <f>[2]!s_stm07_bs($C$6,"W41861522",H6,1,1000000)</f>
        <v>16077</v>
      </c>
      <c r="I28" s="603">
        <f>[2]!s_stm07_bs($C$6,"W41861522",I6,1,1000000)</f>
        <v>16684</v>
      </c>
      <c r="J28" s="603">
        <f>[2]!s_stm07_bs($C$6,"W41861522",J6,1,1000000)</f>
        <v>12567</v>
      </c>
      <c r="K28" s="603">
        <f>[2]!s_stm07_bs($C$6,"W41861522",K6,1,1000000)</f>
        <v>15306</v>
      </c>
    </row>
    <row r="29" spans="3:11" ht="13.5" x14ac:dyDescent="0.4">
      <c r="C29" s="286" t="s">
        <v>296</v>
      </c>
      <c r="E29" s="604">
        <f t="shared" ref="E29:J29" si="0">E30-SUM(E10:E28)</f>
        <v>53647</v>
      </c>
      <c r="F29" s="604">
        <f t="shared" si="0"/>
        <v>86054</v>
      </c>
      <c r="G29" s="604">
        <f t="shared" si="0"/>
        <v>113774</v>
      </c>
      <c r="H29" s="604">
        <f t="shared" si="0"/>
        <v>146728</v>
      </c>
      <c r="I29" s="604">
        <f t="shared" si="0"/>
        <v>137085</v>
      </c>
      <c r="J29" s="604">
        <f t="shared" si="0"/>
        <v>148771</v>
      </c>
      <c r="K29" s="604">
        <f>K30-SUM(K10:K28)</f>
        <v>156485</v>
      </c>
    </row>
    <row r="30" spans="3:11" ht="13.9" thickBot="1" x14ac:dyDescent="0.45">
      <c r="C30" s="312" t="s">
        <v>297</v>
      </c>
      <c r="E30" s="605">
        <f>[2]!s_stm07_bs($C$6,"W45407132",E6,1,1000000)</f>
        <v>4611177</v>
      </c>
      <c r="F30" s="605">
        <f>[2]!s_stm07_bs($C$6,"W45407132",F6,1,1000000)</f>
        <v>5273379</v>
      </c>
      <c r="G30" s="605">
        <f>[2]!s_stm07_bs($C$6,"W45407132",G6,1,1000000)</f>
        <v>5960937</v>
      </c>
      <c r="H30" s="605">
        <f>[2]!s_stm07_bs($C$6,"W45407132",H6,1,1000000)</f>
        <v>6268299</v>
      </c>
      <c r="I30" s="605">
        <f>[2]!s_stm07_bs($C$6,"W45407132",I6,1,1000000)</f>
        <v>7155362</v>
      </c>
      <c r="J30" s="605">
        <f>[2]!s_stm07_bs($C$6,"W45407132",J6,1,1000000)</f>
        <v>8403166</v>
      </c>
      <c r="K30" s="605">
        <f>[2]!s_stm07_bs($C$6,"W45407132",K6,1,1000000)</f>
        <v>8733711</v>
      </c>
    </row>
    <row r="31" spans="3:11" x14ac:dyDescent="0.4">
      <c r="F31" s="456"/>
      <c r="G31" s="456"/>
      <c r="H31" s="606"/>
      <c r="I31" s="606"/>
      <c r="J31" s="606"/>
      <c r="K31" s="606"/>
    </row>
    <row r="32" spans="3:11" ht="13.9" thickBot="1" x14ac:dyDescent="0.45">
      <c r="C32" s="315" t="s">
        <v>298</v>
      </c>
      <c r="G32" s="316"/>
      <c r="H32" s="316"/>
      <c r="I32" s="317"/>
      <c r="J32" s="317"/>
      <c r="K32" s="317"/>
    </row>
    <row r="33" spans="3:11" ht="13.5" x14ac:dyDescent="0.4">
      <c r="C33" s="308" t="s">
        <v>299</v>
      </c>
      <c r="E33" s="607">
        <f>[2]!s_stm07_bs($C$6,"W41637162",E6,1,1000000)</f>
        <v>0</v>
      </c>
      <c r="F33" s="607">
        <f>[2]!s_stm07_bs($C$6,"W41637162",F6,1,1000000)</f>
        <v>150</v>
      </c>
      <c r="G33" s="607">
        <f>[2]!s_stm07_bs($C$6,"W41637162",G6,1,1000000)</f>
        <v>5871</v>
      </c>
      <c r="H33" s="607">
        <f>[2]!s_stm07_bs($C$6,"W41637162",H6,1,1000000)</f>
        <v>83669</v>
      </c>
      <c r="I33" s="607">
        <f>[2]!s_stm07_bs($C$6,"W41637162",I6,1,1000000)</f>
        <v>135320</v>
      </c>
      <c r="J33" s="607">
        <f>[2]!s_stm07_bs($C$6,"W41637162",J6,1,1000000)</f>
        <v>443597</v>
      </c>
      <c r="K33" s="607">
        <f>[2]!s_stm07_bs($C$6,"W41637162",K6,1,1000000)</f>
        <v>498614</v>
      </c>
    </row>
    <row r="34" spans="3:11" ht="13.5" x14ac:dyDescent="0.4">
      <c r="C34" s="310" t="s">
        <v>300</v>
      </c>
      <c r="E34" s="603">
        <f>[2]!s_stm07_bs($C$6,"W49756518",E6,1,1000000)</f>
        <v>662707</v>
      </c>
      <c r="F34" s="603">
        <f>[2]!s_stm07_bs($C$6,"W49756518",F6,1,1000000)</f>
        <v>709082</v>
      </c>
      <c r="G34" s="603">
        <f>[2]!s_stm07_bs($C$6,"W49756518",G6,1,1000000)</f>
        <v>756108</v>
      </c>
      <c r="H34" s="603">
        <f>[2]!s_stm07_bs($C$6,"W49756518",H6,1,1000000)</f>
        <v>1022037</v>
      </c>
      <c r="I34" s="603">
        <f>[2]!s_stm07_bs($C$6,"W49756518",I6,1,1000000)</f>
        <v>1214210</v>
      </c>
      <c r="J34" s="603">
        <f>[2]!s_stm07_bs($C$6,"W49756518",J6,1,1000000)</f>
        <v>1253987</v>
      </c>
      <c r="K34" s="603">
        <f>[2]!s_stm07_bs($C$6,"W49756518",K6,1,1000000)</f>
        <v>1290305</v>
      </c>
    </row>
    <row r="35" spans="3:11" ht="13.5" x14ac:dyDescent="0.4">
      <c r="C35" s="310" t="s">
        <v>301</v>
      </c>
      <c r="E35" s="603">
        <f>[2]!s_stm07_bs($C$6,"W45694480",E6,1,1000000)</f>
        <v>164178</v>
      </c>
      <c r="F35" s="603">
        <f>[2]!s_stm07_bs($C$6,"W45694480",F6,1,1000000)</f>
        <v>204197</v>
      </c>
      <c r="G35" s="603">
        <f>[2]!s_stm07_bs($C$6,"W45694480",G6,1,1000000)</f>
        <v>209216</v>
      </c>
      <c r="H35" s="603">
        <f>[2]!s_stm07_bs($C$6,"W45694480",H6,1,1000000)</f>
        <v>212996</v>
      </c>
      <c r="I35" s="603">
        <f>[2]!s_stm07_bs($C$6,"W45694480",I6,1,1000000)</f>
        <v>241844</v>
      </c>
      <c r="J35" s="603">
        <f>[2]!s_stm07_bs($C$6,"W45694480",J6,1,1000000)</f>
        <v>354267</v>
      </c>
      <c r="K35" s="603">
        <f>[2]!s_stm07_bs($C$6,"W45694480",K6,1,1000000)</f>
        <v>403875</v>
      </c>
    </row>
    <row r="36" spans="3:11" ht="13.5" x14ac:dyDescent="0.4">
      <c r="C36" s="310" t="s">
        <v>302</v>
      </c>
      <c r="E36" s="603">
        <f>[2]!s_stm07_bs($C$6,"W49459692",E6,1,1000000)</f>
        <v>12928</v>
      </c>
      <c r="F36" s="603">
        <f>[2]!s_stm07_bs($C$6,"W49459692",F6,1,1000000)</f>
        <v>15410</v>
      </c>
      <c r="G36" s="603">
        <f>[2]!s_stm07_bs($C$6,"W49459692",G6,1,1000000)</f>
        <v>11965</v>
      </c>
      <c r="H36" s="603">
        <f>[2]!s_stm07_bs($C$6,"W49459692",H6,1,1000000)</f>
        <v>18749</v>
      </c>
      <c r="I36" s="603">
        <f>[2]!s_stm07_bs($C$6,"W49459692",I6,1,1000000)</f>
        <v>29297</v>
      </c>
      <c r="J36" s="603">
        <f>[2]!s_stm07_bs($C$6,"W49459692",J6,1,1000000)</f>
        <v>49700</v>
      </c>
      <c r="K36" s="603">
        <f>[2]!s_stm07_bs($C$6,"W49459692",K6,1,1000000)</f>
        <v>56812</v>
      </c>
    </row>
    <row r="37" spans="3:11" ht="13.5" x14ac:dyDescent="0.4">
      <c r="C37" s="310" t="s">
        <v>303</v>
      </c>
      <c r="E37" s="603">
        <f>[2]!s_stm07_bs($C$6,"W43138898",E6,1,1000000)</f>
        <v>5993</v>
      </c>
      <c r="F37" s="603">
        <f>[2]!s_stm07_bs($C$6,"W43138898",F6,1,1000000)</f>
        <v>7650</v>
      </c>
      <c r="G37" s="603">
        <f>[2]!s_stm07_bs($C$6,"W43138898",G6,1,1000000)</f>
        <v>16675</v>
      </c>
      <c r="H37" s="603">
        <f>[2]!s_stm07_bs($C$6,"W43138898",H6,1,1000000)</f>
        <v>10074</v>
      </c>
      <c r="I37" s="603">
        <f>[2]!s_stm07_bs($C$6,"W43138898",I6,1,1000000)</f>
        <v>33164</v>
      </c>
      <c r="J37" s="603">
        <f>[2]!s_stm07_bs($C$6,"W43138898",J6,1,1000000)</f>
        <v>34599</v>
      </c>
      <c r="K37" s="603">
        <f>[2]!s_stm07_bs($C$6,"W43138898",K6,1,1000000)</f>
        <v>18950</v>
      </c>
    </row>
    <row r="38" spans="3:11" ht="13.5" x14ac:dyDescent="0.4">
      <c r="C38" s="310" t="s">
        <v>304</v>
      </c>
      <c r="E38" s="603">
        <f>[2]!s_stm07_bs($C$6,"W47648264",E6,1,1000000)</f>
        <v>27614</v>
      </c>
      <c r="F38" s="603">
        <f>[2]!s_stm07_bs($C$6,"W47648264",F6,1,1000000)</f>
        <v>29560</v>
      </c>
      <c r="G38" s="603">
        <f>[2]!s_stm07_bs($C$6,"W47648264",G6,1,1000000)</f>
        <v>155368</v>
      </c>
      <c r="H38" s="603">
        <f>[2]!s_stm07_bs($C$6,"W47648264",H6,1,1000000)</f>
        <v>89573</v>
      </c>
      <c r="I38" s="603">
        <f>[2]!s_stm07_bs($C$6,"W47648264",I6,1,1000000)</f>
        <v>49865</v>
      </c>
      <c r="J38" s="603">
        <f>[2]!s_stm07_bs($C$6,"W47648264",J6,1,1000000)</f>
        <v>179209</v>
      </c>
      <c r="K38" s="603">
        <f>[2]!s_stm07_bs($C$6,"W47648264",K6,1,1000000)</f>
        <v>74293</v>
      </c>
    </row>
    <row r="39" spans="3:11" ht="13.5" x14ac:dyDescent="0.4">
      <c r="C39" s="319" t="s">
        <v>305</v>
      </c>
      <c r="E39" s="608"/>
      <c r="F39" s="609"/>
      <c r="G39" s="609">
        <v>24619</v>
      </c>
      <c r="H39" s="609">
        <v>38601</v>
      </c>
      <c r="I39" s="609">
        <v>89265</v>
      </c>
      <c r="J39" s="609">
        <v>318950</v>
      </c>
      <c r="K39" s="609">
        <v>375805</v>
      </c>
    </row>
    <row r="40" spans="3:11" ht="13.5" x14ac:dyDescent="0.4">
      <c r="C40" s="310" t="s">
        <v>306</v>
      </c>
      <c r="E40" s="603">
        <f>[2]!s_stm07_bs($C$6,"W47888059",E6,1,1000000)</f>
        <v>3283232</v>
      </c>
      <c r="F40" s="603">
        <f>[2]!s_stm07_bs($C$6,"W47888059",F6,1,1000000)</f>
        <v>3728412</v>
      </c>
      <c r="G40" s="603">
        <f>[2]!s_stm07_bs($C$6,"W47888059",G6,1,1000000)</f>
        <v>4157833</v>
      </c>
      <c r="H40" s="603">
        <f>[2]!s_stm07_bs($C$6,"W47888059",H6,1,1000000)</f>
        <v>4029668</v>
      </c>
      <c r="I40" s="603">
        <f>[2]!s_stm07_bs($C$6,"W47888059",I6,1,1000000)</f>
        <v>4484814</v>
      </c>
      <c r="J40" s="603">
        <f>[2]!s_stm07_bs($C$6,"W47888059",J6,1,1000000)</f>
        <v>4728589</v>
      </c>
      <c r="K40" s="603">
        <f>[2]!s_stm07_bs($C$6,"W47888059",K6,1,1000000)</f>
        <v>4937673</v>
      </c>
    </row>
    <row r="41" spans="3:11" ht="13.5" x14ac:dyDescent="0.4">
      <c r="C41" s="310" t="s">
        <v>307</v>
      </c>
      <c r="E41" s="603">
        <f>[2]!s_stm07_bs($C$6,"W40315239",E6,1,1000000)</f>
        <v>6920</v>
      </c>
      <c r="F41" s="603">
        <f>[2]!s_stm07_bs($C$6,"W40315239",F6,1,1000000)</f>
        <v>6899</v>
      </c>
      <c r="G41" s="603">
        <f>[2]!s_stm07_bs($C$6,"W40315239",G6,1,1000000)</f>
        <v>5673</v>
      </c>
      <c r="H41" s="603">
        <f>[2]!s_stm07_bs($C$6,"W40315239",H6,1,1000000)</f>
        <v>6163</v>
      </c>
      <c r="I41" s="603">
        <f>[2]!s_stm07_bs($C$6,"W40315239",I6,1,1000000)</f>
        <v>7271</v>
      </c>
      <c r="J41" s="603">
        <f>[2]!s_stm07_bs($C$6,"W40315239",J6,1,1000000)</f>
        <v>7814</v>
      </c>
      <c r="K41" s="603">
        <f>[2]!s_stm07_bs($C$6,"W40315239",K6,1,1000000)</f>
        <v>4281</v>
      </c>
    </row>
    <row r="42" spans="3:11" ht="13.5" x14ac:dyDescent="0.4">
      <c r="C42" s="310" t="s">
        <v>308</v>
      </c>
      <c r="E42" s="603">
        <f>[2]!s_stm07_bs($C$6,"W41970448",E6,1,1000000)</f>
        <v>7366</v>
      </c>
      <c r="F42" s="603">
        <f>[2]!s_stm07_bs($C$6,"W41970448",F6,1,1000000)</f>
        <v>10728</v>
      </c>
      <c r="G42" s="603">
        <f>[2]!s_stm07_bs($C$6,"W41970448",G6,1,1000000)</f>
        <v>9711</v>
      </c>
      <c r="H42" s="603">
        <f>[2]!s_stm07_bs($C$6,"W41970448",H6,1,1000000)</f>
        <v>11190</v>
      </c>
      <c r="I42" s="603">
        <f>[2]!s_stm07_bs($C$6,"W41970448",I6,1,1000000)</f>
        <v>12784</v>
      </c>
      <c r="J42" s="603">
        <f>[2]!s_stm07_bs($C$6,"W41970448",J6,1,1000000)</f>
        <v>9693</v>
      </c>
      <c r="K42" s="603">
        <f>[2]!s_stm07_bs($C$6,"W41970448",K6,1,1000000)</f>
        <v>16553</v>
      </c>
    </row>
    <row r="43" spans="3:11" ht="13.5" x14ac:dyDescent="0.4">
      <c r="C43" s="310" t="s">
        <v>309</v>
      </c>
      <c r="E43" s="603">
        <f>[2]!s_stm07_bs($C$6,"W43255562",E6,1,1000000)</f>
        <v>39053</v>
      </c>
      <c r="F43" s="603">
        <f>[2]!s_stm07_bs($C$6,"W43255562",F6,1,1000000)</f>
        <v>50757</v>
      </c>
      <c r="G43" s="603">
        <f>[2]!s_stm07_bs($C$6,"W43255562",G6,1,1000000)</f>
        <v>59812</v>
      </c>
      <c r="H43" s="603">
        <f>[2]!s_stm07_bs($C$6,"W43255562",H6,1,1000000)</f>
        <v>70892</v>
      </c>
      <c r="I43" s="603">
        <f>[2]!s_stm07_bs($C$6,"W43255562",I6,1,1000000)</f>
        <v>74409</v>
      </c>
      <c r="J43" s="603">
        <f>[2]!s_stm07_bs($C$6,"W43255562",J6,1,1000000)</f>
        <v>79635</v>
      </c>
      <c r="K43" s="603">
        <f>[2]!s_stm07_bs($C$6,"W43255562",K6,1,1000000)</f>
        <v>86590</v>
      </c>
    </row>
    <row r="44" spans="3:11" ht="13.5" x14ac:dyDescent="0.4">
      <c r="C44" s="319" t="s">
        <v>310</v>
      </c>
      <c r="E44" s="603">
        <v>710</v>
      </c>
      <c r="F44" s="603">
        <v>481</v>
      </c>
      <c r="G44" s="603">
        <v>467</v>
      </c>
      <c r="H44" s="603">
        <v>279</v>
      </c>
      <c r="I44" s="603">
        <v>463</v>
      </c>
      <c r="J44" s="603">
        <v>448</v>
      </c>
      <c r="K44" s="603">
        <v>369</v>
      </c>
    </row>
    <row r="45" spans="3:11" ht="13.5" x14ac:dyDescent="0.4">
      <c r="C45" s="310" t="s">
        <v>311</v>
      </c>
      <c r="E45" s="603">
        <f>[2]!s_stm07_bs($C$6,"W41002911",E6,1,1000000)</f>
        <v>81803</v>
      </c>
      <c r="F45" s="603">
        <f>[2]!s_stm07_bs($C$6,"W41002911",F6,1,1000000)</f>
        <v>79572</v>
      </c>
      <c r="G45" s="603">
        <f>[2]!s_stm07_bs($C$6,"W41002911",G6,1,1000000)</f>
        <v>82238</v>
      </c>
      <c r="H45" s="603">
        <f>[2]!s_stm07_bs($C$6,"W41002911",H6,1,1000000)</f>
        <v>129547</v>
      </c>
      <c r="I45" s="603">
        <f>[2]!s_stm07_bs($C$6,"W41002911",I6,1,1000000)</f>
        <v>170106</v>
      </c>
      <c r="J45" s="603">
        <f>[2]!s_stm07_bs($C$6,"W41002911",J6,1,1000000)</f>
        <v>229515</v>
      </c>
      <c r="K45" s="603">
        <f>[2]!s_stm07_bs($C$6,"W41002911",K6,1,1000000)</f>
        <v>228024</v>
      </c>
    </row>
    <row r="46" spans="3:11" ht="13.5" x14ac:dyDescent="0.4">
      <c r="C46" s="286" t="s">
        <v>312</v>
      </c>
      <c r="E46" s="603">
        <f>[2]!s_stm07_bs($C$6,"W47653457",E6,1,1000000)</f>
        <v>21</v>
      </c>
      <c r="F46" s="603">
        <f>[2]!s_stm07_bs($C$6,"W47653457",F6,1,1000000)</f>
        <v>5</v>
      </c>
      <c r="G46" s="603">
        <f>[2]!s_stm07_bs($C$6,"W47653457",G6,1,1000000)</f>
        <v>18</v>
      </c>
      <c r="H46" s="603">
        <f>[2]!s_stm07_bs($C$6,"W47653457",H6,1,1000000)</f>
        <v>32</v>
      </c>
      <c r="I46" s="603">
        <f>[2]!s_stm07_bs($C$6,"W47653457",I6,1,1000000)</f>
        <v>119</v>
      </c>
      <c r="J46" s="603">
        <f>[2]!s_stm07_bs($C$6,"W47653457",J6,1,1000000)</f>
        <v>145</v>
      </c>
      <c r="K46" s="603">
        <f>[2]!s_stm07_bs($C$6,"W47653457",K6,1,1000000)</f>
        <v>156</v>
      </c>
    </row>
    <row r="47" spans="3:11" ht="13.5" x14ac:dyDescent="0.4">
      <c r="C47" s="286" t="s">
        <v>558</v>
      </c>
      <c r="E47" s="604">
        <f t="shared" ref="E47:K47" si="1">E48-SUM(E33:E46)</f>
        <v>45864</v>
      </c>
      <c r="F47" s="604">
        <f t="shared" si="1"/>
        <v>49029</v>
      </c>
      <c r="G47" s="604">
        <f t="shared" si="1"/>
        <v>43879</v>
      </c>
      <c r="H47" s="604">
        <f t="shared" si="1"/>
        <v>71224</v>
      </c>
      <c r="I47" s="604">
        <f t="shared" si="1"/>
        <v>74339</v>
      </c>
      <c r="J47" s="604">
        <f t="shared" si="1"/>
        <v>80611</v>
      </c>
      <c r="K47" s="604">
        <f t="shared" si="1"/>
        <v>89253</v>
      </c>
    </row>
    <row r="48" spans="3:11" ht="13.9" thickBot="1" x14ac:dyDescent="0.45">
      <c r="C48" s="312" t="s">
        <v>314</v>
      </c>
      <c r="E48" s="605">
        <f>[2]!s_stm07_bs($C$6,"W47401840",E6,1,1000000)</f>
        <v>4338389</v>
      </c>
      <c r="F48" s="605">
        <f>[2]!s_stm07_bs($C$6,"W47401840",F6,1,1000000)</f>
        <v>4891932</v>
      </c>
      <c r="G48" s="605">
        <f>[2]!s_stm07_bs($C$6,"W47401840",G6,1,1000000)</f>
        <v>5539453</v>
      </c>
      <c r="H48" s="605">
        <f>[2]!s_stm07_bs($C$6,"W47401840",H6,1,1000000)</f>
        <v>5794694</v>
      </c>
      <c r="I48" s="605">
        <f>[2]!s_stm07_bs($C$6,"W47401840",I6,1,1000000)</f>
        <v>6617270</v>
      </c>
      <c r="J48" s="605">
        <f>[2]!s_stm07_bs($C$6,"W47401840",J6,1,1000000)</f>
        <v>7770759</v>
      </c>
      <c r="K48" s="605">
        <f>[2]!s_stm07_bs($C$6,"W47401840",K6,1,1000000)</f>
        <v>8081553</v>
      </c>
    </row>
    <row r="50" spans="3:11" ht="13.9" thickBot="1" x14ac:dyDescent="0.45">
      <c r="C50" s="315" t="s">
        <v>315</v>
      </c>
      <c r="E50" s="435"/>
      <c r="F50" s="435"/>
      <c r="G50" s="435"/>
      <c r="H50" s="435"/>
      <c r="I50" s="435"/>
      <c r="J50" s="435"/>
      <c r="K50" s="435"/>
    </row>
    <row r="51" spans="3:11" ht="13.5" x14ac:dyDescent="0.4">
      <c r="C51" s="321" t="s">
        <v>316</v>
      </c>
      <c r="E51" s="428">
        <f>[2]!s_stm07_bs($C$6,"W43225999",E6,1,1000000)</f>
        <v>61886</v>
      </c>
      <c r="F51" s="428">
        <f>[2]!s_stm07_bs($C$6,"W43225999",F6,1,1000000)</f>
        <v>74263</v>
      </c>
      <c r="G51" s="428">
        <f>[2]!s_stm07_bs($C$6,"W43225999",G6,1,1000000)</f>
        <v>74263</v>
      </c>
      <c r="H51" s="428">
        <f>[2]!s_stm07_bs($C$6,"W43225999",H6,1,1000000)</f>
        <v>74263</v>
      </c>
      <c r="I51" s="428">
        <f>[2]!s_stm07_bs($C$6,"W43225999",I6,1,1000000)</f>
        <v>74263</v>
      </c>
      <c r="J51" s="428">
        <f>[2]!s_stm07_bs($C$6,"W43225999",J6,1,1000000)</f>
        <v>74263</v>
      </c>
      <c r="K51" s="428">
        <f>[2]!s_stm07_bs($C$6,"W43225999",K6,1,1000000)</f>
        <v>74263</v>
      </c>
    </row>
    <row r="52" spans="3:11" ht="13.5" x14ac:dyDescent="0.4">
      <c r="C52" s="322" t="s">
        <v>559</v>
      </c>
      <c r="E52" s="438">
        <v>0</v>
      </c>
      <c r="F52" s="438">
        <v>0</v>
      </c>
      <c r="G52" s="438">
        <v>0</v>
      </c>
      <c r="H52" s="438">
        <v>0</v>
      </c>
      <c r="I52" s="438">
        <v>14924</v>
      </c>
      <c r="J52" s="438">
        <v>59876</v>
      </c>
      <c r="K52" s="438">
        <v>59876</v>
      </c>
    </row>
    <row r="53" spans="3:11" ht="13.5" x14ac:dyDescent="0.4">
      <c r="C53" s="286" t="s">
        <v>318</v>
      </c>
      <c r="E53" s="429">
        <f>[2]!s_stm07_bs($C$6,"W42156082",E6,1,1000000)</f>
        <v>68818</v>
      </c>
      <c r="F53" s="429">
        <f>[2]!s_stm07_bs($C$6,"W42156082",F6,1,1000000)</f>
        <v>112407</v>
      </c>
      <c r="G53" s="429">
        <f>[2]!s_stm07_bs($C$6,"W42156082",G6,1,1000000)</f>
        <v>108481</v>
      </c>
      <c r="H53" s="429">
        <f>[2]!s_stm07_bs($C$6,"W42156082",H6,1,1000000)</f>
        <v>113496</v>
      </c>
      <c r="I53" s="429">
        <f>[2]!s_stm07_bs($C$6,"W42156082",I6,1,1000000)</f>
        <v>113392</v>
      </c>
      <c r="J53" s="429">
        <f>[2]!s_stm07_bs($C$6,"W42156082",J6,1,1000000)</f>
        <v>113392</v>
      </c>
      <c r="K53" s="429">
        <f>[2]!s_stm07_bs($C$6,"W42156082",K6,1,1000000)</f>
        <v>113392</v>
      </c>
    </row>
    <row r="54" spans="3:11" ht="13.5" x14ac:dyDescent="0.4">
      <c r="C54" s="286" t="s">
        <v>560</v>
      </c>
      <c r="E54" s="429">
        <f>[2]!s_stm07_bs($C$6,"163",E6,1,1000000)</f>
        <v>0</v>
      </c>
      <c r="F54" s="429">
        <f>[2]!s_stm07_bs($C$6,"163",F6,1,1000000)</f>
        <v>0</v>
      </c>
      <c r="G54" s="429">
        <f>[2]!s_stm07_bs($C$6,"163",G6,1,1000000)</f>
        <v>0</v>
      </c>
      <c r="H54" s="429">
        <f>[2]!s_stm07_bs($C$6,"163",H6,1,1000000)</f>
        <v>-2842</v>
      </c>
      <c r="I54" s="429">
        <f>[2]!s_stm07_bs($C$6,"163",I6,1,1000000)</f>
        <v>-307</v>
      </c>
      <c r="J54" s="429">
        <f>[2]!s_stm07_bs($C$6,"163",J6,1,1000000)</f>
        <v>2767</v>
      </c>
      <c r="K54" s="429">
        <f>[2]!s_stm07_bs($C$6,"163",K6,1,1000000)</f>
        <v>3091</v>
      </c>
    </row>
    <row r="55" spans="3:11" ht="13.5" x14ac:dyDescent="0.4">
      <c r="C55" s="286" t="s">
        <v>320</v>
      </c>
      <c r="E55" s="429">
        <f>[2]!s_stm07_bs($C$6,"W48226390",E6,1,1000000)</f>
        <v>67011</v>
      </c>
      <c r="F55" s="429">
        <f>[2]!s_stm07_bs($C$6,"W48226390",F6,1,1000000)</f>
        <v>82947</v>
      </c>
      <c r="G55" s="429">
        <f>[2]!s_stm07_bs($C$6,"W48226390",G6,1,1000000)</f>
        <v>109509</v>
      </c>
      <c r="H55" s="429">
        <f>[2]!s_stm07_bs($C$6,"W48226390",H6,1,1000000)</f>
        <v>142764</v>
      </c>
      <c r="I55" s="429">
        <f>[2]!s_stm07_bs($C$6,"W48226390",I6,1,1000000)</f>
        <v>183862</v>
      </c>
      <c r="J55" s="429">
        <f>[2]!s_stm07_bs($C$6,"W48226390",J6,1,1000000)</f>
        <v>190414</v>
      </c>
      <c r="K55" s="429">
        <f>[2]!s_stm07_bs($C$6,"W48226390",K6,1,1000000)</f>
        <v>190500</v>
      </c>
    </row>
    <row r="56" spans="3:11" ht="13.5" x14ac:dyDescent="0.4">
      <c r="C56" s="286" t="s">
        <v>321</v>
      </c>
      <c r="E56" s="429">
        <f>[2]!s_stm07_bs($C$6,"W44631682",E6,1,1000000)</f>
        <v>29094</v>
      </c>
      <c r="F56" s="429">
        <f>[2]!s_stm07_bs($C$6,"W44631682",F6,1,1000000)</f>
        <v>34309</v>
      </c>
      <c r="G56" s="429">
        <f>[2]!s_stm07_bs($C$6,"W44631682",G6,1,1000000)</f>
        <v>62757</v>
      </c>
      <c r="H56" s="429">
        <f>[2]!s_stm07_bs($C$6,"W44631682",H6,1,1000000)</f>
        <v>71549</v>
      </c>
      <c r="I56" s="429">
        <f>[2]!s_stm07_bs($C$6,"W44631682",I6,1,1000000)</f>
        <v>75653</v>
      </c>
      <c r="J56" s="429">
        <f>[2]!s_stm07_bs($C$6,"W44631682",J6,1,1000000)</f>
        <v>87732</v>
      </c>
      <c r="K56" s="429">
        <f>[2]!s_stm07_bs($C$6,"W44631682",K6,1,1000000)</f>
        <v>87770</v>
      </c>
    </row>
    <row r="57" spans="3:11" ht="13.5" x14ac:dyDescent="0.4">
      <c r="C57" s="286" t="s">
        <v>322</v>
      </c>
      <c r="E57" s="429">
        <f>[2]!s_stm07_bs($C$6,"W43705838",E6,1,1000000)</f>
        <v>46834</v>
      </c>
      <c r="F57" s="429">
        <f>[2]!s_stm07_bs($C$6,"W43705838",F6,1,1000000)</f>
        <v>77868</v>
      </c>
      <c r="G57" s="429">
        <f>[2]!s_stm07_bs($C$6,"W43705838",G6,1,1000000)</f>
        <v>67330</v>
      </c>
      <c r="H57" s="429">
        <f>[2]!s_stm07_bs($C$6,"W43705838",H6,1,1000000)</f>
        <v>71825</v>
      </c>
      <c r="I57" s="429">
        <f>[2]!s_stm07_bs($C$6,"W43705838",I6,1,1000000)</f>
        <v>73098</v>
      </c>
      <c r="J57" s="429">
        <f>[2]!s_stm07_bs($C$6,"W43705838",J6,1,1000000)</f>
        <v>100698</v>
      </c>
      <c r="K57" s="429">
        <f>[2]!s_stm07_bs($C$6,"W43705838",K6,1,1000000)</f>
        <v>119897</v>
      </c>
    </row>
    <row r="58" spans="3:11" ht="13.5" x14ac:dyDescent="0.4">
      <c r="C58" s="286" t="s">
        <v>323</v>
      </c>
      <c r="E58" s="430">
        <f>[2]!s_stm07_bs($C$6,"W43561211",E6,1,1000000)</f>
        <v>-1841</v>
      </c>
      <c r="F58" s="430">
        <f>[2]!s_stm07_bs($C$6,"W43561211",F6,1,1000000)</f>
        <v>-1876</v>
      </c>
      <c r="G58" s="430">
        <f>[2]!s_stm07_bs($C$6,"W43561211",G6,1,1000000)</f>
        <v>-2779</v>
      </c>
      <c r="H58" s="430">
        <f>[2]!s_stm07_bs($C$6,"W43561211",H6,1,1000000)</f>
        <v>0</v>
      </c>
      <c r="I58" s="430">
        <f>[2]!s_stm07_bs($C$6,"W43561211",I6,1,1000000)</f>
        <v>0</v>
      </c>
      <c r="J58" s="430">
        <f>[2]!s_stm07_bs($C$6,"W43561211",J6,1,1000000)</f>
        <v>0</v>
      </c>
      <c r="K58" s="430">
        <f>[2]!s_stm07_bs($C$6,"W43561211",K6,1,1000000)</f>
        <v>0</v>
      </c>
    </row>
    <row r="59" spans="3:11" ht="13.5" x14ac:dyDescent="0.4">
      <c r="C59" s="325" t="s">
        <v>324</v>
      </c>
      <c r="E59" s="610">
        <f>[2]!s_stm07_bs($C$6,"W43740284",E6,1,1000000)</f>
        <v>271802</v>
      </c>
      <c r="F59" s="610">
        <f>[2]!s_stm07_bs($C$6,"W43740284",F6,1,1000000)</f>
        <v>379918</v>
      </c>
      <c r="G59" s="610">
        <f>[2]!s_stm07_bs($C$6,"W43740284",G6,1,1000000)</f>
        <v>419561</v>
      </c>
      <c r="H59" s="610">
        <f>[2]!s_stm07_bs($C$6,"W43740284",H6,1,1000000)</f>
        <v>471055</v>
      </c>
      <c r="I59" s="610">
        <f>[2]!s_stm07_bs($C$6,"W43740284",I6,1,1000000)</f>
        <v>534885</v>
      </c>
      <c r="J59" s="610">
        <f>[2]!s_stm07_bs($C$6,"W43740284",J6,1,1000000)</f>
        <v>629142</v>
      </c>
      <c r="K59" s="610">
        <f>[2]!s_stm07_bs($C$6,"W43740284",K6,1,1000000)</f>
        <v>648789</v>
      </c>
    </row>
    <row r="60" spans="3:11" ht="13.5" x14ac:dyDescent="0.4">
      <c r="C60" s="327" t="s">
        <v>325</v>
      </c>
      <c r="E60" s="448">
        <f>[2]!s_stm07_bs($C$6,"W44301909",E6,1,1000000)</f>
        <v>986</v>
      </c>
      <c r="F60" s="448">
        <f>[2]!s_stm07_bs($C$6,"W44301909",F6,1,1000000)</f>
        <v>1529</v>
      </c>
      <c r="G60" s="448">
        <f>[2]!s_stm07_bs($C$6,"W44301909",G6,1,1000000)</f>
        <v>1923</v>
      </c>
      <c r="H60" s="448">
        <f>[2]!s_stm07_bs($C$6,"W44301909",H6,1,1000000)</f>
        <v>2550</v>
      </c>
      <c r="I60" s="448">
        <f>[2]!s_stm07_bs($C$6,"W44301909",I6,1,1000000)</f>
        <v>3207</v>
      </c>
      <c r="J60" s="448">
        <f>[2]!s_stm07_bs($C$6,"W44301909",J6,1,1000000)</f>
        <v>3265</v>
      </c>
      <c r="K60" s="448">
        <f>[2]!s_stm07_bs($C$6,"W44301909",K6,1,1000000)</f>
        <v>3369</v>
      </c>
    </row>
    <row r="61" spans="3:11" ht="13.5" x14ac:dyDescent="0.4">
      <c r="C61" s="329" t="s">
        <v>326</v>
      </c>
      <c r="E61" s="611">
        <f t="shared" ref="E61:I61" si="2">E59+E60</f>
        <v>272788</v>
      </c>
      <c r="F61" s="611">
        <f t="shared" si="2"/>
        <v>381447</v>
      </c>
      <c r="G61" s="611">
        <f t="shared" si="2"/>
        <v>421484</v>
      </c>
      <c r="H61" s="611">
        <f t="shared" si="2"/>
        <v>473605</v>
      </c>
      <c r="I61" s="611">
        <f t="shared" si="2"/>
        <v>538092</v>
      </c>
      <c r="J61" s="611">
        <f>J59+J60</f>
        <v>632407</v>
      </c>
      <c r="K61" s="611">
        <f>K59+K60</f>
        <v>652158</v>
      </c>
    </row>
    <row r="62" spans="3:11" ht="13.9" thickBot="1" x14ac:dyDescent="0.45">
      <c r="C62" s="331" t="s">
        <v>327</v>
      </c>
      <c r="E62" s="612">
        <f t="shared" ref="E62:J62" si="3">E61+E48</f>
        <v>4611177</v>
      </c>
      <c r="F62" s="612">
        <f t="shared" si="3"/>
        <v>5273379</v>
      </c>
      <c r="G62" s="612">
        <f t="shared" si="3"/>
        <v>5960937</v>
      </c>
      <c r="H62" s="612">
        <f t="shared" si="3"/>
        <v>6268299</v>
      </c>
      <c r="I62" s="612">
        <f t="shared" si="3"/>
        <v>7155362</v>
      </c>
      <c r="J62" s="612">
        <f t="shared" si="3"/>
        <v>8403166</v>
      </c>
      <c r="K62" s="612">
        <f>K61+K48</f>
        <v>8733711</v>
      </c>
    </row>
    <row r="63" spans="3:11" s="334" customFormat="1" ht="13.5" x14ac:dyDescent="0.4">
      <c r="C63" s="333" t="s">
        <v>328</v>
      </c>
      <c r="E63" s="452">
        <f t="shared" ref="E63:K63" si="4">E30-E62</f>
        <v>0</v>
      </c>
      <c r="F63" s="452">
        <f t="shared" si="4"/>
        <v>0</v>
      </c>
      <c r="G63" s="452">
        <f t="shared" si="4"/>
        <v>0</v>
      </c>
      <c r="H63" s="452">
        <f t="shared" si="4"/>
        <v>0</v>
      </c>
      <c r="I63" s="452">
        <f t="shared" si="4"/>
        <v>0</v>
      </c>
      <c r="J63" s="452">
        <f t="shared" si="4"/>
        <v>0</v>
      </c>
      <c r="K63" s="452">
        <f t="shared" si="4"/>
        <v>0</v>
      </c>
    </row>
    <row r="66" spans="2:11" ht="13.9" thickBot="1" x14ac:dyDescent="0.45">
      <c r="B66" s="336" t="s">
        <v>329</v>
      </c>
      <c r="E66" s="344">
        <f>[2]!s_stm07_is($C$6,"W16498900",E6,1,1000000)-E67</f>
        <v>0</v>
      </c>
      <c r="F66" s="344">
        <f>[2]!s_stm07_is($C$6,"W16498900",F6,1,1000000)-F67</f>
        <v>0</v>
      </c>
      <c r="G66" s="344">
        <f>[2]!s_stm07_is($C$6,"W16498900",G6,1,1000000)-G67</f>
        <v>0</v>
      </c>
      <c r="H66" s="344">
        <f>[2]!s_stm07_is($C$6,"W16498900",H6,1,1000000)-H67</f>
        <v>0</v>
      </c>
      <c r="I66" s="344">
        <f>[2]!s_stm07_is($C$6,"W16498900",I6,1,1000000)-I67</f>
        <v>0</v>
      </c>
      <c r="J66" s="344">
        <f>[2]!s_stm07_is($C$6,"W16498900",J6,1,1000000)-J67</f>
        <v>0</v>
      </c>
      <c r="K66" s="344">
        <f>[2]!s_stm07_is($C$6,"W16498900",K6,1,1000000)-K67</f>
        <v>0</v>
      </c>
    </row>
    <row r="67" spans="2:11" ht="13.5" x14ac:dyDescent="0.4">
      <c r="C67" s="337" t="s">
        <v>330</v>
      </c>
      <c r="E67" s="613">
        <f t="shared" ref="E67:J67" si="5">E68+E71</f>
        <v>126956</v>
      </c>
      <c r="F67" s="613">
        <f t="shared" si="5"/>
        <v>147337</v>
      </c>
      <c r="G67" s="613">
        <f t="shared" si="5"/>
        <v>164435</v>
      </c>
      <c r="H67" s="613">
        <f t="shared" si="5"/>
        <v>177401</v>
      </c>
      <c r="I67" s="613">
        <f t="shared" si="5"/>
        <v>193828</v>
      </c>
      <c r="J67" s="613">
        <f t="shared" si="5"/>
        <v>193129</v>
      </c>
      <c r="K67" s="613">
        <f>K68+K71</f>
        <v>54885</v>
      </c>
    </row>
    <row r="68" spans="2:11" ht="13.5" x14ac:dyDescent="0.4">
      <c r="C68" s="286" t="s">
        <v>331</v>
      </c>
      <c r="E68" s="316">
        <f t="shared" ref="E68:J68" si="6">E69+E70</f>
        <v>102601</v>
      </c>
      <c r="F68" s="316">
        <f t="shared" si="6"/>
        <v>120126</v>
      </c>
      <c r="G68" s="316">
        <f t="shared" si="6"/>
        <v>130658</v>
      </c>
      <c r="H68" s="316">
        <f t="shared" si="6"/>
        <v>134776</v>
      </c>
      <c r="I68" s="316">
        <f t="shared" si="6"/>
        <v>144172</v>
      </c>
      <c r="J68" s="316">
        <f t="shared" si="6"/>
        <v>134871</v>
      </c>
      <c r="K68" s="316">
        <f>K69+K70</f>
        <v>31217</v>
      </c>
    </row>
    <row r="69" spans="2:11" ht="13.5" x14ac:dyDescent="0.4">
      <c r="C69" s="286" t="s">
        <v>332</v>
      </c>
      <c r="E69" s="440">
        <f>[2]!s_stm07_is($C$6,"W66665549",E6,1,1000000)</f>
        <v>190872</v>
      </c>
      <c r="F69" s="440">
        <f>[2]!s_stm07_is($C$6,"W66665549",F6,1,1000000)</f>
        <v>240596</v>
      </c>
      <c r="G69" s="440">
        <f>[2]!s_stm07_is($C$6,"W66665549",G6,1,1000000)</f>
        <v>259292</v>
      </c>
      <c r="H69" s="440">
        <f>[2]!s_stm07_is($C$6,"W66665549",H6,1,1000000)</f>
        <v>288509</v>
      </c>
      <c r="I69" s="440">
        <f>[2]!s_stm07_is($C$6,"W66665549",I6,1,1000000)</f>
        <v>305126</v>
      </c>
      <c r="J69" s="440">
        <f>[2]!s_stm07_is($C$6,"W66665549",J6,1,1000000)</f>
        <v>289844</v>
      </c>
      <c r="K69" s="440">
        <f>[2]!s_stm07_is($C$6,"W66665549",K6,1,1000000)</f>
        <v>75988</v>
      </c>
    </row>
    <row r="70" spans="2:11" s="339" customFormat="1" ht="13.5" x14ac:dyDescent="0.4">
      <c r="C70" s="339" t="s">
        <v>333</v>
      </c>
      <c r="E70" s="614">
        <f>0-[2]!s_stm07_is($C$6,"W62987874",E6,1,1000000)</f>
        <v>-88271</v>
      </c>
      <c r="F70" s="614">
        <f>0-[2]!s_stm07_is($C$6,"W62987874",F6,1,1000000)</f>
        <v>-120470</v>
      </c>
      <c r="G70" s="614">
        <f>0-[2]!s_stm07_is($C$6,"W62987874",G6,1,1000000)</f>
        <v>-128634</v>
      </c>
      <c r="H70" s="614">
        <f>0-[2]!s_stm07_is($C$6,"W62987874",H6,1,1000000)</f>
        <v>-153733</v>
      </c>
      <c r="I70" s="614">
        <f>0-[2]!s_stm07_is($C$6,"W62987874",I6,1,1000000)</f>
        <v>-160954</v>
      </c>
      <c r="J70" s="614">
        <f>0-[2]!s_stm07_is($C$6,"W62987874",J6,1,1000000)</f>
        <v>-154973</v>
      </c>
      <c r="K70" s="614">
        <f>0-[2]!s_stm07_is($C$6,"W62987874",K6,1,1000000)</f>
        <v>-44771</v>
      </c>
    </row>
    <row r="71" spans="2:11" ht="13.5" x14ac:dyDescent="0.4">
      <c r="C71" s="340" t="s">
        <v>334</v>
      </c>
      <c r="E71" s="615">
        <f t="shared" ref="E71:J71" si="7">E72+E75</f>
        <v>24355</v>
      </c>
      <c r="F71" s="615">
        <f t="shared" si="7"/>
        <v>27211</v>
      </c>
      <c r="G71" s="615">
        <f t="shared" si="7"/>
        <v>33777</v>
      </c>
      <c r="H71" s="615">
        <f t="shared" si="7"/>
        <v>42625</v>
      </c>
      <c r="I71" s="615">
        <f t="shared" si="7"/>
        <v>49656</v>
      </c>
      <c r="J71" s="615">
        <f t="shared" si="7"/>
        <v>58258</v>
      </c>
      <c r="K71" s="615">
        <f>K72+K75</f>
        <v>23668</v>
      </c>
    </row>
    <row r="72" spans="2:11" ht="13.5" x14ac:dyDescent="0.4">
      <c r="C72" s="286" t="s">
        <v>335</v>
      </c>
      <c r="E72" s="316">
        <f t="shared" ref="E72:J72" si="8">E73+E74</f>
        <v>19549</v>
      </c>
      <c r="F72" s="316">
        <f t="shared" si="8"/>
        <v>20882</v>
      </c>
      <c r="G72" s="316">
        <f t="shared" si="8"/>
        <v>25968</v>
      </c>
      <c r="H72" s="316">
        <f t="shared" si="8"/>
        <v>29604</v>
      </c>
      <c r="I72" s="316">
        <f t="shared" si="8"/>
        <v>35027</v>
      </c>
      <c r="J72" s="316">
        <f t="shared" si="8"/>
        <v>36795</v>
      </c>
      <c r="K72" s="316">
        <f>K73+K74</f>
        <v>11279</v>
      </c>
    </row>
    <row r="73" spans="2:11" ht="13.5" x14ac:dyDescent="0.4">
      <c r="C73" s="286" t="s">
        <v>336</v>
      </c>
      <c r="E73" s="459">
        <f>[2]!s_stm07_is($C$6,"W68082914",E6,1,1000000)</f>
        <v>22464</v>
      </c>
      <c r="F73" s="459">
        <f>[2]!s_stm07_is($C$6,"W68082914",F6,1,1000000)</f>
        <v>24126</v>
      </c>
      <c r="G73" s="459">
        <f>[2]!s_stm07_is($C$6,"W68082914",G6,1,1000000)</f>
        <v>29405</v>
      </c>
      <c r="H73" s="459">
        <f>[2]!s_stm07_is($C$6,"W68082914",H6,1,1000000)</f>
        <v>32914</v>
      </c>
      <c r="I73" s="459">
        <f>[2]!s_stm07_is($C$6,"W68082914",I6,1,1000000)</f>
        <v>38231</v>
      </c>
      <c r="J73" s="459">
        <f>[2]!s_stm07_is($C$6,"W68082914",J6,1,1000000)</f>
        <v>39884</v>
      </c>
      <c r="K73" s="459">
        <f>[2]!s_stm07_is($C$6,"W68082914",K6,1,1000000)</f>
        <v>12202</v>
      </c>
    </row>
    <row r="74" spans="2:11" ht="13.5" x14ac:dyDescent="0.4">
      <c r="C74" s="327" t="s">
        <v>337</v>
      </c>
      <c r="E74" s="616">
        <f>0-[2]!s_stm07_is($C$6,"W62767802",E6,1,1000000)</f>
        <v>-2915</v>
      </c>
      <c r="F74" s="616">
        <f>0-[2]!s_stm07_is($C$6,"W62767802",F6,1,1000000)</f>
        <v>-3244</v>
      </c>
      <c r="G74" s="616">
        <f>0-[2]!s_stm07_is($C$6,"W62767802",G6,1,1000000)</f>
        <v>-3437</v>
      </c>
      <c r="H74" s="616">
        <f>0-[2]!s_stm07_is($C$6,"W62767802",H6,1,1000000)</f>
        <v>-3310</v>
      </c>
      <c r="I74" s="616">
        <f>0-[2]!s_stm07_is($C$6,"W62767802",I6,1,1000000)</f>
        <v>-3204</v>
      </c>
      <c r="J74" s="616">
        <f>0-[2]!s_stm07_is($C$6,"W62767802",J6,1,1000000)</f>
        <v>-3089</v>
      </c>
      <c r="K74" s="616">
        <f>0-[2]!s_stm07_is($C$6,"W62767802",K6,1,1000000)</f>
        <v>-923</v>
      </c>
    </row>
    <row r="75" spans="2:11" ht="13.5" x14ac:dyDescent="0.4">
      <c r="C75" s="286" t="s">
        <v>338</v>
      </c>
      <c r="E75" s="316">
        <f t="shared" ref="E75:J75" si="9">SUM(E76:E79)</f>
        <v>4806</v>
      </c>
      <c r="F75" s="316">
        <f t="shared" si="9"/>
        <v>6329</v>
      </c>
      <c r="G75" s="316">
        <f t="shared" si="9"/>
        <v>7809</v>
      </c>
      <c r="H75" s="316">
        <f t="shared" si="9"/>
        <v>13021</v>
      </c>
      <c r="I75" s="316">
        <f t="shared" si="9"/>
        <v>14629</v>
      </c>
      <c r="J75" s="316">
        <f t="shared" si="9"/>
        <v>21463</v>
      </c>
      <c r="K75" s="316">
        <f>SUM(K76:K79)</f>
        <v>12389</v>
      </c>
    </row>
    <row r="76" spans="2:11" ht="13.5" x14ac:dyDescent="0.4">
      <c r="C76" s="286" t="s">
        <v>339</v>
      </c>
      <c r="E76" s="459">
        <f>[2]!s_stm07_is($C$6,"W68338469",E6,1,1000000)</f>
        <v>802</v>
      </c>
      <c r="F76" s="459">
        <f>[2]!s_stm07_is($C$6,"W68338469",F6,1,1000000)</f>
        <v>-725</v>
      </c>
      <c r="G76" s="459">
        <f>[2]!s_stm07_is($C$6,"W68338469",G6,1,1000000)</f>
        <v>-1965</v>
      </c>
      <c r="H76" s="459">
        <f>[2]!s_stm07_is($C$6,"W68338469",H6,1,1000000)</f>
        <v>4063</v>
      </c>
      <c r="I76" s="459">
        <f>[2]!s_stm07_is($C$6,"W68338469",I6,1,1000000)</f>
        <v>-32</v>
      </c>
      <c r="J76" s="459">
        <f>[2]!s_stm07_is($C$6,"W68338469",J6,1,1000000)</f>
        <v>-2223</v>
      </c>
      <c r="K76" s="459">
        <f>[2]!s_stm07_is($C$6,"W68338469",K6,1,1000000)</f>
        <v>-231</v>
      </c>
    </row>
    <row r="77" spans="2:11" ht="13.5" x14ac:dyDescent="0.4">
      <c r="C77" s="286" t="s">
        <v>340</v>
      </c>
      <c r="E77" s="459">
        <f>[2]!s_stm07_is($C$6,"W63091148",E6,1,1000000)</f>
        <v>857</v>
      </c>
      <c r="F77" s="459">
        <f>[2]!s_stm07_is($C$6,"W63091148",F6,1,1000000)</f>
        <v>1491</v>
      </c>
      <c r="G77" s="459">
        <f>[2]!s_stm07_is($C$6,"W63091148",G6,1,1000000)</f>
        <v>546</v>
      </c>
      <c r="H77" s="459">
        <f>[2]!s_stm07_is($C$6,"W63091148",H6,1,1000000)</f>
        <v>4480</v>
      </c>
      <c r="I77" s="459">
        <f>[2]!s_stm07_is($C$6,"W63091148",I6,1,1000000)</f>
        <v>4376</v>
      </c>
      <c r="J77" s="459">
        <f>[2]!s_stm07_is($C$6,"W63091148",J6,1,1000000)</f>
        <v>4520</v>
      </c>
      <c r="K77" s="459">
        <f>[2]!s_stm07_is($C$6,"W63091148",K6,1,1000000)</f>
        <v>547</v>
      </c>
    </row>
    <row r="78" spans="2:11" ht="13.5" x14ac:dyDescent="0.4">
      <c r="C78" s="286" t="s">
        <v>341</v>
      </c>
      <c r="E78" s="459">
        <f>[2]!s_stm07_is($C$6,"W66065632",E6,1,1000000)</f>
        <v>-5</v>
      </c>
      <c r="F78" s="459">
        <f>[2]!s_stm07_is($C$6,"W66065632",F6,1,1000000)</f>
        <v>936</v>
      </c>
      <c r="G78" s="459">
        <f>[2]!s_stm07_is($C$6,"W66065632",G6,1,1000000)</f>
        <v>1006</v>
      </c>
      <c r="H78" s="459">
        <f>[2]!s_stm07_is($C$6,"W66065632",H6,1,1000000)</f>
        <v>-1927</v>
      </c>
      <c r="I78" s="459">
        <f>[2]!s_stm07_is($C$6,"W66065632",I6,1,1000000)</f>
        <v>81</v>
      </c>
      <c r="J78" s="459">
        <f>[2]!s_stm07_is($C$6,"W66065632",J6,1,1000000)</f>
        <v>1468</v>
      </c>
      <c r="K78" s="459">
        <f>[2]!s_stm07_is($C$6,"W66065632",K6,1,1000000)</f>
        <v>536</v>
      </c>
    </row>
    <row r="79" spans="2:11" ht="13.9" thickBot="1" x14ac:dyDescent="0.45">
      <c r="C79" s="342" t="s">
        <v>561</v>
      </c>
      <c r="E79" s="447">
        <f>[2]!s_stm07_is_85($C$6,E6,1,1000000)+433</f>
        <v>3152</v>
      </c>
      <c r="F79" s="447">
        <f>[2]!s_stm07_is_85($C$6,F6,1,1000000)+741</f>
        <v>4627</v>
      </c>
      <c r="G79" s="447">
        <f>[2]!s_stm07_is_85($C$6,G6,1,1000000)+1357</f>
        <v>8222</v>
      </c>
      <c r="H79" s="447">
        <f>[2]!s_stm07_is_85($C$6,H6,1,1000000)+2547</f>
        <v>6405</v>
      </c>
      <c r="I79" s="447">
        <f>[2]!s_stm07_is_85($C$6,I6,1,1000000)+4051</f>
        <v>10204</v>
      </c>
      <c r="J79" s="447">
        <f>[2]!s_stm07_is_85($C$6,J6,1,1000000)+9596</f>
        <v>17698</v>
      </c>
      <c r="K79" s="447">
        <f>[2]!s_stm07_is_85($C$6,K6,1,1000000)+8182</f>
        <v>11537</v>
      </c>
    </row>
    <row r="80" spans="2:11" ht="13.5" thickBot="1" x14ac:dyDescent="0.45">
      <c r="E80" s="344"/>
      <c r="F80" s="344"/>
      <c r="G80" s="344"/>
      <c r="H80" s="344"/>
      <c r="I80" s="344"/>
      <c r="J80" s="344"/>
      <c r="K80" s="344"/>
    </row>
    <row r="81" spans="3:12" ht="13.5" x14ac:dyDescent="0.4">
      <c r="C81" s="337" t="s">
        <v>343</v>
      </c>
      <c r="E81" s="613">
        <f t="shared" ref="E81:J81" si="10">SUM(E82:E85)</f>
        <v>-62060</v>
      </c>
      <c r="F81" s="613">
        <f t="shared" si="10"/>
        <v>-72962</v>
      </c>
      <c r="G81" s="613">
        <f t="shared" si="10"/>
        <v>-84919</v>
      </c>
      <c r="H81" s="613">
        <f t="shared" si="10"/>
        <v>-93559</v>
      </c>
      <c r="I81" s="613">
        <f t="shared" si="10"/>
        <v>-108116</v>
      </c>
      <c r="J81" s="613">
        <f t="shared" si="10"/>
        <v>-107779</v>
      </c>
      <c r="K81" s="613">
        <f>SUM(K82:K85)</f>
        <v>-30907</v>
      </c>
    </row>
    <row r="82" spans="3:12" ht="13.5" x14ac:dyDescent="0.4">
      <c r="C82" s="286" t="s">
        <v>344</v>
      </c>
      <c r="E82" s="617">
        <f>0-[2]!s_stm07_is($C$6,"W61922150",E6,1,1000000)</f>
        <v>-8939</v>
      </c>
      <c r="F82" s="617">
        <f>0-[2]!s_stm07_is($C$6,"W61922150",F6,1,1000000)</f>
        <v>-10916</v>
      </c>
      <c r="G82" s="617">
        <f>0-[2]!s_stm07_is($C$6,"W61922150",G6,1,1000000)</f>
        <v>-11949</v>
      </c>
      <c r="H82" s="617">
        <f>0-[2]!s_stm07_is($C$6,"W61922150",H6,1,1000000)</f>
        <v>-12822</v>
      </c>
      <c r="I82" s="617">
        <f>0-[2]!s_stm07_is($C$6,"W61922150",I6,1,1000000)</f>
        <v>-13979</v>
      </c>
      <c r="J82" s="617">
        <f>0-[2]!s_stm07_is($C$6,"W61922150",J6,1,1000000)</f>
        <v>-5962</v>
      </c>
      <c r="K82" s="617">
        <f>0-[2]!s_stm07_is($C$6,"W61922150",K6,1,1000000)</f>
        <v>-584</v>
      </c>
    </row>
    <row r="83" spans="3:12" ht="13.5" x14ac:dyDescent="0.4">
      <c r="C83" s="286" t="s">
        <v>345</v>
      </c>
      <c r="E83" s="618">
        <f>0-[2]!s_stm07_is($C$6,"W66107451",E6,1,1000000)</f>
        <v>-37529</v>
      </c>
      <c r="F83" s="618">
        <f>0-[2]!s_stm07_is($C$6,"W66107451",F6,1,1000000)</f>
        <v>-42734</v>
      </c>
      <c r="G83" s="618">
        <f>0-[2]!s_stm07_is($C$6,"W66107451",G6,1,1000000)</f>
        <v>-46440</v>
      </c>
      <c r="H83" s="618">
        <f>0-[2]!s_stm07_is($C$6,"W66107451",H6,1,1000000)</f>
        <v>-53045</v>
      </c>
      <c r="I83" s="618">
        <f>0-[2]!s_stm07_is($C$6,"W66107451",I6,1,1000000)</f>
        <v>-58011</v>
      </c>
      <c r="J83" s="618">
        <f>0-[2]!s_stm07_is($C$6,"W66107451",J6,1,1000000)</f>
        <v>-60289</v>
      </c>
      <c r="K83" s="618">
        <f>0-[2]!s_stm07_is($C$6,"W66107451",K6,1,1000000)</f>
        <v>-12741</v>
      </c>
    </row>
    <row r="84" spans="3:12" ht="13.5" x14ac:dyDescent="0.4">
      <c r="C84" s="286" t="s">
        <v>346</v>
      </c>
      <c r="E84" s="618">
        <f>0-[2]!s_stm07_is($C$6,"W65284919",E6,1,1000000)</f>
        <v>-12692</v>
      </c>
      <c r="F84" s="618">
        <f>0-[2]!s_stm07_is($C$6,"W65284919",F6,1,1000000)</f>
        <v>-15187</v>
      </c>
      <c r="G84" s="618">
        <f>0-[2]!s_stm07_is($C$6,"W65284919",G6,1,1000000)</f>
        <v>-19158</v>
      </c>
      <c r="H84" s="618">
        <f>0-[2]!s_stm07_is($C$6,"W65284919",H6,1,1000000)</f>
        <v>-22866</v>
      </c>
      <c r="I84" s="618">
        <f>0-[2]!s_stm07_is($C$6,"W65284919",I6,1,1000000)</f>
        <v>-28914</v>
      </c>
      <c r="J84" s="618">
        <f>0-[2]!s_stm07_is($C$6,"W65284919",J6,1,1000000)</f>
        <v>-30212</v>
      </c>
      <c r="K84" s="618">
        <f>0-[2]!s_stm07_is($C$6,"W65284919",K6,1,1000000)</f>
        <v>-7859</v>
      </c>
    </row>
    <row r="85" spans="3:12" ht="13.9" thickBot="1" x14ac:dyDescent="0.45">
      <c r="C85" s="342" t="s">
        <v>562</v>
      </c>
      <c r="E85" s="447">
        <f>0-[2]!s_stm07_is_86($C$6,E6,1,1000000)-491</f>
        <v>-2900</v>
      </c>
      <c r="F85" s="447">
        <f>0-[2]!s_stm07_is_86($C$6,F6,1,1000000)-630</f>
        <v>-4125</v>
      </c>
      <c r="G85" s="447">
        <f>0-[2]!s_stm07_is_86($C$6,G6,1,1000000)-1173</f>
        <v>-7372</v>
      </c>
      <c r="H85" s="447">
        <f>0-[2]!s_stm07_is_86($C$6,H6,1,1000000)-2528</f>
        <v>-4826</v>
      </c>
      <c r="I85" s="447">
        <f>0-[2]!s_stm07_is_86($C$6,I6,1,1000000)-4482</f>
        <v>-7212</v>
      </c>
      <c r="J85" s="447">
        <f>0-[2]!s_stm07_is_86($C$6,J6,1,1000000)-8993</f>
        <v>-11316</v>
      </c>
      <c r="K85" s="447">
        <f>0-[2]!s_stm07_is_86($C$6,K6,1,1000000)-7614</f>
        <v>-9723</v>
      </c>
      <c r="L85" s="345"/>
    </row>
    <row r="86" spans="3:12" ht="13.5" thickBot="1" x14ac:dyDescent="0.45">
      <c r="E86" s="344"/>
      <c r="F86" s="344"/>
      <c r="G86" s="344"/>
      <c r="H86" s="344"/>
      <c r="I86" s="344"/>
      <c r="J86" s="344"/>
      <c r="K86" s="344"/>
    </row>
    <row r="87" spans="3:12" ht="13.5" x14ac:dyDescent="0.4">
      <c r="C87" s="337" t="s">
        <v>348</v>
      </c>
      <c r="E87" s="613">
        <f t="shared" ref="E87:J87" si="11">E67+E81</f>
        <v>64896</v>
      </c>
      <c r="F87" s="613">
        <f t="shared" si="11"/>
        <v>74375</v>
      </c>
      <c r="G87" s="613">
        <f t="shared" si="11"/>
        <v>79516</v>
      </c>
      <c r="H87" s="613">
        <f t="shared" si="11"/>
        <v>83842</v>
      </c>
      <c r="I87" s="613">
        <f t="shared" si="11"/>
        <v>85712</v>
      </c>
      <c r="J87" s="613">
        <f t="shared" si="11"/>
        <v>85350</v>
      </c>
      <c r="K87" s="613">
        <f>K67+K81</f>
        <v>23978</v>
      </c>
    </row>
    <row r="88" spans="3:12" ht="13.5" x14ac:dyDescent="0.4">
      <c r="C88" s="286" t="s">
        <v>349</v>
      </c>
      <c r="E88" s="619">
        <f t="shared" ref="E88:K88" si="12">E89+E90</f>
        <v>555</v>
      </c>
      <c r="F88" s="619">
        <f t="shared" si="12"/>
        <v>836</v>
      </c>
      <c r="G88" s="619">
        <f t="shared" si="12"/>
        <v>393</v>
      </c>
      <c r="H88" s="619">
        <f t="shared" si="12"/>
        <v>1085</v>
      </c>
      <c r="I88" s="619">
        <f t="shared" si="12"/>
        <v>300</v>
      </c>
      <c r="J88" s="619">
        <f t="shared" si="12"/>
        <v>760</v>
      </c>
      <c r="K88" s="619">
        <f t="shared" si="12"/>
        <v>34</v>
      </c>
    </row>
    <row r="89" spans="3:12" ht="13.5" x14ac:dyDescent="0.4">
      <c r="C89" s="286" t="s">
        <v>350</v>
      </c>
      <c r="E89" s="459">
        <f>[2]!s_stm07_is($C$6,"W68538378",E6,1,1000000)</f>
        <v>837</v>
      </c>
      <c r="F89" s="459">
        <f>[2]!s_stm07_is($C$6,"W68538378",F6,1,1000000)</f>
        <v>851</v>
      </c>
      <c r="G89" s="459">
        <f>[2]!s_stm07_is($C$6,"W68538378",G6,1,1000000)</f>
        <v>635</v>
      </c>
      <c r="H89" s="459">
        <f>[2]!s_stm07_is($C$6,"W68538378",H6,1,1000000)</f>
        <v>1225</v>
      </c>
      <c r="I89" s="459">
        <f>[2]!s_stm07_is($C$6,"W68538378",I6,1,1000000)</f>
        <v>730</v>
      </c>
      <c r="J89" s="459">
        <f>[2]!s_stm07_is($C$6,"W68538378",J6,1,1000000)</f>
        <v>933</v>
      </c>
      <c r="K89" s="459">
        <f>[2]!s_stm07_is($C$6,"W68538378",K6,1,1000000)</f>
        <v>103</v>
      </c>
    </row>
    <row r="90" spans="3:12" ht="13.5" x14ac:dyDescent="0.4">
      <c r="C90" s="347" t="s">
        <v>351</v>
      </c>
      <c r="E90" s="620">
        <f>0-[2]!s_stm07_is($C$6,"W67738435",E6,1,1000000)</f>
        <v>-282</v>
      </c>
      <c r="F90" s="620">
        <f>0-[2]!s_stm07_is($C$6,"W67738435",F6,1,1000000)</f>
        <v>-15</v>
      </c>
      <c r="G90" s="620">
        <f>0-[2]!s_stm07_is($C$6,"W67738435",G6,1,1000000)</f>
        <v>-242</v>
      </c>
      <c r="H90" s="620">
        <f>0-[2]!s_stm07_is($C$6,"W67738435",H6,1,1000000)</f>
        <v>-140</v>
      </c>
      <c r="I90" s="620">
        <f>0-[2]!s_stm07_is($C$6,"W67738435",I6,1,1000000)</f>
        <v>-430</v>
      </c>
      <c r="J90" s="620">
        <f>0-[2]!s_stm07_is($C$6,"W67738435",J6,1,1000000)</f>
        <v>-173</v>
      </c>
      <c r="K90" s="620">
        <f>0-[2]!s_stm07_is($C$6,"W67738435",K6,1,1000000)</f>
        <v>-69</v>
      </c>
    </row>
    <row r="91" spans="3:12" ht="13.5" x14ac:dyDescent="0.4">
      <c r="C91" s="348" t="s">
        <v>352</v>
      </c>
      <c r="E91" s="621">
        <f t="shared" ref="E91:I91" si="13">E87+E88</f>
        <v>65451</v>
      </c>
      <c r="F91" s="621">
        <f t="shared" si="13"/>
        <v>75211</v>
      </c>
      <c r="G91" s="621">
        <f t="shared" si="13"/>
        <v>79909</v>
      </c>
      <c r="H91" s="621">
        <f t="shared" si="13"/>
        <v>84927</v>
      </c>
      <c r="I91" s="621">
        <f t="shared" si="13"/>
        <v>86012</v>
      </c>
      <c r="J91" s="621">
        <f>J87+J88</f>
        <v>86110</v>
      </c>
      <c r="K91" s="621">
        <f>K87+K88</f>
        <v>24012</v>
      </c>
    </row>
    <row r="92" spans="3:12" ht="13.5" x14ac:dyDescent="0.4">
      <c r="C92" s="286" t="s">
        <v>353</v>
      </c>
      <c r="E92" s="622">
        <f>0-[2]!s_stm07_is($C$6,"W65004312",E6,1,1000000)</f>
        <v>-14634</v>
      </c>
      <c r="F92" s="622">
        <f>0-[2]!s_stm07_is($C$6,"W65004312",F6,1,1000000)</f>
        <v>-16739</v>
      </c>
      <c r="G92" s="622">
        <f>0-[2]!s_stm07_is($C$6,"W65004312",G6,1,1000000)</f>
        <v>-17448</v>
      </c>
      <c r="H92" s="622">
        <f>0-[2]!s_stm07_is($C$6,"W65004312",H6,1,1000000)</f>
        <v>-18892</v>
      </c>
      <c r="I92" s="622">
        <f>0-[2]!s_stm07_is($C$6,"W65004312",I6,1,1000000)</f>
        <v>-19181</v>
      </c>
      <c r="J92" s="622">
        <f>0-[2]!s_stm07_is($C$6,"W65004312",J6,1,1000000)</f>
        <v>-18459</v>
      </c>
      <c r="K92" s="622">
        <f>0-[2]!s_stm07_is($C$6,"W65004312",K6,1,1000000)</f>
        <v>-4562</v>
      </c>
    </row>
    <row r="93" spans="3:12" ht="13.5" x14ac:dyDescent="0.4">
      <c r="C93" s="348" t="s">
        <v>354</v>
      </c>
      <c r="E93" s="621">
        <f t="shared" ref="E93:J93" si="14">E91+E92</f>
        <v>50817</v>
      </c>
      <c r="F93" s="621">
        <f t="shared" si="14"/>
        <v>58472</v>
      </c>
      <c r="G93" s="621">
        <f t="shared" si="14"/>
        <v>62461</v>
      </c>
      <c r="H93" s="621">
        <f t="shared" si="14"/>
        <v>66035</v>
      </c>
      <c r="I93" s="621">
        <f t="shared" si="14"/>
        <v>66831</v>
      </c>
      <c r="J93" s="621">
        <f t="shared" si="14"/>
        <v>67651</v>
      </c>
      <c r="K93" s="621">
        <f>K91+K92</f>
        <v>19450</v>
      </c>
    </row>
    <row r="94" spans="3:12" ht="13.5" x14ac:dyDescent="0.4">
      <c r="C94" s="286" t="s">
        <v>355</v>
      </c>
      <c r="E94" s="623">
        <f>[2]!s_stm07_is($C$6,"W66823304",E6,1,1000000)</f>
        <v>50735</v>
      </c>
      <c r="F94" s="623">
        <f>[2]!s_stm07_is($C$6,"W66823304",F6,1,1000000)</f>
        <v>58369</v>
      </c>
      <c r="G94" s="623">
        <f>[2]!s_stm07_is($C$6,"W66823304",G6,1,1000000)</f>
        <v>62295</v>
      </c>
      <c r="H94" s="623">
        <f>[2]!s_stm07_is($C$6,"W66823304",H6,1,1000000)</f>
        <v>65850</v>
      </c>
      <c r="I94" s="623">
        <f>[2]!s_stm07_is($C$6,"W66823304",I6,1,1000000)</f>
        <v>66528</v>
      </c>
      <c r="J94" s="623">
        <f>[2]!s_stm07_is($C$6,"W66823304",J6,1,1000000)</f>
        <v>67210</v>
      </c>
      <c r="K94" s="623">
        <f>[2]!s_stm07_is($C$6,"W66823304",K6,1,1000000)</f>
        <v>19323</v>
      </c>
    </row>
    <row r="95" spans="3:12" ht="13.9" thickBot="1" x14ac:dyDescent="0.45">
      <c r="C95" s="342" t="s">
        <v>356</v>
      </c>
      <c r="E95" s="316">
        <f t="shared" ref="E95:J95" si="15">E93-E94</f>
        <v>82</v>
      </c>
      <c r="F95" s="316">
        <f t="shared" si="15"/>
        <v>103</v>
      </c>
      <c r="G95" s="316">
        <f t="shared" si="15"/>
        <v>166</v>
      </c>
      <c r="H95" s="316">
        <f t="shared" si="15"/>
        <v>185</v>
      </c>
      <c r="I95" s="316">
        <f t="shared" si="15"/>
        <v>303</v>
      </c>
      <c r="J95" s="316">
        <f t="shared" si="15"/>
        <v>441</v>
      </c>
      <c r="K95" s="316">
        <f>K93-K94</f>
        <v>127</v>
      </c>
    </row>
    <row r="96" spans="3:12" ht="13.5" x14ac:dyDescent="0.4">
      <c r="C96" s="286" t="s">
        <v>357</v>
      </c>
      <c r="E96" s="624">
        <v>-632</v>
      </c>
      <c r="F96" s="624">
        <v>-333</v>
      </c>
      <c r="G96" s="624">
        <v>-4831</v>
      </c>
      <c r="H96" s="624">
        <v>5281</v>
      </c>
      <c r="I96" s="624">
        <v>2621</v>
      </c>
      <c r="J96" s="624">
        <v>2879</v>
      </c>
      <c r="K96" s="625">
        <v>301</v>
      </c>
    </row>
    <row r="97" spans="2:11" ht="13.5" x14ac:dyDescent="0.4">
      <c r="C97" s="348" t="s">
        <v>358</v>
      </c>
      <c r="E97" s="611">
        <f t="shared" ref="E97:J97" si="16">E98+E99</f>
        <v>50185</v>
      </c>
      <c r="F97" s="611">
        <f t="shared" si="16"/>
        <v>58139</v>
      </c>
      <c r="G97" s="611">
        <f t="shared" si="16"/>
        <v>57630</v>
      </c>
      <c r="H97" s="611">
        <f t="shared" si="16"/>
        <v>71316</v>
      </c>
      <c r="I97" s="611">
        <f t="shared" si="16"/>
        <v>69452</v>
      </c>
      <c r="J97" s="611">
        <f t="shared" si="16"/>
        <v>70530</v>
      </c>
      <c r="K97" s="611">
        <f>K98+K99</f>
        <v>19751</v>
      </c>
    </row>
    <row r="98" spans="2:11" ht="13.5" x14ac:dyDescent="0.4">
      <c r="C98" s="286" t="s">
        <v>359</v>
      </c>
      <c r="E98" s="626">
        <f>[2]!s_stm07_is($C$6,"W62388262",E6,1,1000000)</f>
        <v>50154</v>
      </c>
      <c r="F98" s="626">
        <f>[2]!s_stm07_is($C$6,"W62388262",F6,1,1000000)</f>
        <v>58010</v>
      </c>
      <c r="G98" s="626">
        <f>[2]!s_stm07_is($C$6,"W62388262",G6,1,1000000)</f>
        <v>57466</v>
      </c>
      <c r="H98" s="626">
        <f>[2]!s_stm07_is($C$6,"W62388262",H6,1,1000000)</f>
        <v>70689</v>
      </c>
      <c r="I98" s="626">
        <f>[2]!s_stm07_is($C$6,"W62388262",I6,1,1000000)</f>
        <v>69063</v>
      </c>
      <c r="J98" s="626">
        <f>[2]!s_stm07_is($C$6,"W62388262",J6,1,1000000)</f>
        <v>70284</v>
      </c>
      <c r="K98" s="627">
        <f>[2]!s_stm07_is($C$6,"W62388262",K6,1,1000000)</f>
        <v>19647</v>
      </c>
    </row>
    <row r="99" spans="2:11" ht="13.9" thickBot="1" x14ac:dyDescent="0.45">
      <c r="C99" s="342" t="s">
        <v>360</v>
      </c>
      <c r="E99" s="626">
        <f>[2]!s_stm07_is($C$6,"W47116209",E6,1,1000000)</f>
        <v>31</v>
      </c>
      <c r="F99" s="626">
        <f>[2]!s_stm07_is($C$6,"W47116209",F6,1,1000000)</f>
        <v>129</v>
      </c>
      <c r="G99" s="626">
        <f>[2]!s_stm07_is($C$6,"W47116209",G6,1,1000000)</f>
        <v>164</v>
      </c>
      <c r="H99" s="626">
        <f>[2]!s_stm07_is($C$6,"W47116209",H6,1,1000000)</f>
        <v>627</v>
      </c>
      <c r="I99" s="626">
        <f>[2]!s_stm07_is($C$6,"W47116209",I6,1,1000000)</f>
        <v>389</v>
      </c>
      <c r="J99" s="626">
        <f>[2]!s_stm07_is($C$6,"W47116209",J6,1,1000000)</f>
        <v>246</v>
      </c>
      <c r="K99" s="627">
        <f>[2]!s_stm07_is($C$6,"W47116209",K6,1,1000000)</f>
        <v>104</v>
      </c>
    </row>
    <row r="100" spans="2:11" ht="13.5" thickBot="1" x14ac:dyDescent="0.45"/>
    <row r="101" spans="2:11" ht="13.5" x14ac:dyDescent="0.4">
      <c r="C101" s="353" t="s">
        <v>361</v>
      </c>
      <c r="E101" s="321"/>
      <c r="F101" s="321"/>
      <c r="G101" s="321"/>
      <c r="H101" s="321"/>
      <c r="I101" s="321"/>
      <c r="J101" s="321"/>
      <c r="K101" s="321"/>
    </row>
    <row r="102" spans="2:11" ht="13.5" x14ac:dyDescent="0.4">
      <c r="C102" s="310" t="s">
        <v>362</v>
      </c>
      <c r="E102" s="628">
        <f>[2]!s_stm07_is($C$6,"W88363141",E6,1,1)</f>
        <v>0.82</v>
      </c>
      <c r="F102" s="628">
        <f>[2]!s_stm07_is($C$6,"W88363141",F6,1,1)</f>
        <v>0.88</v>
      </c>
      <c r="G102" s="628">
        <f>[2]!s_stm07_is($C$6,"W88363141",G6,1,1)</f>
        <v>0.84</v>
      </c>
      <c r="H102" s="628">
        <f>[2]!s_stm07_is($C$6,"W88363141",H6,1,1)</f>
        <v>0.89</v>
      </c>
      <c r="I102" s="628">
        <f>[2]!s_stm07_is($C$6,"W88363141",I6,1,1)</f>
        <v>0.9</v>
      </c>
      <c r="J102" s="628">
        <f>[2]!s_stm07_is($C$6,"W88363141",J6,1,1)</f>
        <v>0.89</v>
      </c>
      <c r="K102" s="628">
        <f>[2]!s_stm07_is($C$6,"W88363141",K6,1,1)</f>
        <v>0.26</v>
      </c>
    </row>
    <row r="103" spans="2:11" ht="13.9" thickBot="1" x14ac:dyDescent="0.45">
      <c r="C103" s="355" t="s">
        <v>363</v>
      </c>
      <c r="E103" s="629">
        <f>[2]!s_stm07_is($C$6,"W85526134",E6,1,1)</f>
        <v>0</v>
      </c>
      <c r="F103" s="629">
        <f>[2]!s_stm07_is($C$6,"W85526134",F6,1,1)</f>
        <v>0</v>
      </c>
      <c r="G103" s="629">
        <f>[2]!s_stm07_is($C$6,"W85526134",G6,1,1)</f>
        <v>0.84</v>
      </c>
      <c r="H103" s="629">
        <f>[2]!s_stm07_is($C$6,"W85526134",H6,1,1)</f>
        <v>0.89</v>
      </c>
      <c r="I103" s="629">
        <f>[2]!s_stm07_is($C$6,"W85526134",I6,1,1)</f>
        <v>0.9</v>
      </c>
      <c r="J103" s="629">
        <f>[2]!s_stm07_is($C$6,"W85526134",J6,1,1)</f>
        <v>0.89</v>
      </c>
      <c r="K103" s="629">
        <f>[2]!s_stm07_is($C$6,"W85526134",K6,1,1)</f>
        <v>0.26</v>
      </c>
    </row>
    <row r="106" spans="2:11" ht="13.9" thickBot="1" x14ac:dyDescent="0.45">
      <c r="B106" s="356" t="s">
        <v>364</v>
      </c>
      <c r="C106" s="357"/>
    </row>
    <row r="107" spans="2:11" ht="13.5" x14ac:dyDescent="0.4">
      <c r="B107" s="358"/>
      <c r="C107" s="359" t="s">
        <v>365</v>
      </c>
      <c r="E107" s="630">
        <f t="shared" ref="E107:J107" si="17">E108+E109</f>
        <v>2052443</v>
      </c>
      <c r="F107" s="630">
        <f t="shared" si="17"/>
        <v>2345777</v>
      </c>
      <c r="G107" s="630">
        <f t="shared" si="17"/>
        <v>2515058</v>
      </c>
      <c r="H107" s="630">
        <f t="shared" si="17"/>
        <v>2563378</v>
      </c>
      <c r="I107" s="630">
        <f t="shared" si="17"/>
        <v>2728687</v>
      </c>
      <c r="J107" s="630">
        <f t="shared" si="17"/>
        <v>2916772</v>
      </c>
      <c r="K107" s="630">
        <f>K108+K109</f>
        <v>3114131</v>
      </c>
    </row>
    <row r="108" spans="2:11" ht="13.5" x14ac:dyDescent="0.4">
      <c r="B108" s="358"/>
      <c r="C108" s="359" t="s">
        <v>366</v>
      </c>
      <c r="E108" s="429">
        <f>[2]!s_stmnote_bank_681($C$6,E6,1,2,1000000)</f>
        <v>2002246</v>
      </c>
      <c r="F108" s="429">
        <f>[2]!s_stmnote_bank_681($C$6,F6,1,2,1000000)</f>
        <v>2281008</v>
      </c>
      <c r="G108" s="429">
        <f>[2]!s_stmnote_bank_681($C$6,G6,1,2,1000000)</f>
        <v>2454615</v>
      </c>
      <c r="H108" s="429">
        <f>[2]!s_stmnote_bank_681($C$6,H6,1,2,1000000)</f>
        <v>2488830</v>
      </c>
      <c r="I108" s="429">
        <f>[2]!s_stmnote_bank_681($C$6,I6,1,2,1000000)</f>
        <v>2611243</v>
      </c>
      <c r="J108" s="429">
        <f>[2]!s_stmnote_bank_681($C$6,J6,1,2,1000000)</f>
        <v>2790183</v>
      </c>
      <c r="K108" s="429">
        <f>[2]!s_stmnote_bank_681($C$6,K6,1,2,1000000)</f>
        <v>3114131</v>
      </c>
    </row>
    <row r="109" spans="2:11" ht="13.5" x14ac:dyDescent="0.4">
      <c r="B109" s="358"/>
      <c r="C109" s="359" t="s">
        <v>563</v>
      </c>
      <c r="E109" s="429">
        <f>[2]!s_stmnote_bank_683($C$6,E6,1,2,1000000)</f>
        <v>50197</v>
      </c>
      <c r="F109" s="429">
        <f>[2]!s_stmnote_bank_683($C$6,F6,1,2,1000000)</f>
        <v>64769</v>
      </c>
      <c r="G109" s="429">
        <f>[2]!s_stmnote_bank_683($C$6,G6,1,2,1000000)</f>
        <v>60443</v>
      </c>
      <c r="H109" s="429">
        <f>[2]!s_stmnote_bank_683($C$6,H6,1,2,1000000)</f>
        <v>74548</v>
      </c>
      <c r="I109" s="429">
        <f>[2]!s_stmnote_bank_683($C$6,I6,1,2,1000000)</f>
        <v>117444</v>
      </c>
      <c r="J109" s="429">
        <f>[2]!s_stmnote_bank_683($C$6,J6,1,2,1000000)</f>
        <v>126589</v>
      </c>
      <c r="K109" s="429">
        <f>[2]!s_stmnote_bank_683($C$6,K6,1,2,1000000)</f>
        <v>0</v>
      </c>
    </row>
    <row r="110" spans="2:11" ht="13.5" x14ac:dyDescent="0.4">
      <c r="B110" s="360"/>
      <c r="C110" s="359" t="s">
        <v>368</v>
      </c>
      <c r="E110" s="429">
        <f>[2]!s_stmnote_bank_682($C$6,E6,1,2,1000000)</f>
        <v>509307</v>
      </c>
      <c r="F110" s="429">
        <f>[2]!s_stmnote_bank_682($C$6,F6,1,2,1000000)</f>
        <v>601522</v>
      </c>
      <c r="G110" s="429">
        <f>[2]!s_stmnote_bank_682($C$6,G6,1,2,1000000)</f>
        <v>751310</v>
      </c>
      <c r="H110" s="429">
        <f>[2]!s_stmnote_bank_682($C$6,H6,1,2,1000000)</f>
        <v>868357</v>
      </c>
      <c r="I110" s="429">
        <f>[2]!s_stmnote_bank_682($C$6,I6,1,2,1000000)</f>
        <v>993319</v>
      </c>
      <c r="J110" s="429">
        <f>[2]!s_stmnote_bank_682($C$6,J6,1,2,1000000)</f>
        <v>1186187</v>
      </c>
      <c r="K110" s="429">
        <f>[2]!s_stmnote_bank_682($C$6,K6,1,2,1000000)</f>
        <v>1229610</v>
      </c>
    </row>
    <row r="111" spans="2:11" ht="13.5" x14ac:dyDescent="0.4">
      <c r="B111" s="358"/>
      <c r="C111" s="359" t="s">
        <v>369</v>
      </c>
      <c r="E111" s="429">
        <f>-[2]!s_stmnote_bank_22n($C$6,E6,1,1000000)</f>
        <v>-56365</v>
      </c>
      <c r="F111" s="429">
        <f>-[2]!s_stmnote_bank_22n($C$6,F6,1,1000000)</f>
        <v>-67671</v>
      </c>
      <c r="G111" s="429">
        <f>-[2]!s_stmnote_bank_22n($C$6,G6,1,1000000)</f>
        <v>-73305</v>
      </c>
      <c r="H111" s="429">
        <f>-[2]!s_stmnote_bank_22n($C$6,H6,1,1000000)</f>
        <v>-76948</v>
      </c>
      <c r="I111" s="429">
        <f>-[2]!s_stmnote_bank_22n($C$6,I6,1,1000000)</f>
        <v>-87438</v>
      </c>
      <c r="J111" s="429">
        <f>-[2]!s_stmnote_bank_22n($C$6,J6,1,1000000)</f>
        <v>-93913</v>
      </c>
      <c r="K111" s="429">
        <f>K113-K112</f>
        <v>-98891</v>
      </c>
    </row>
    <row r="112" spans="2:11" ht="13.5" x14ac:dyDescent="0.4">
      <c r="B112" s="361"/>
      <c r="C112" s="362" t="s">
        <v>370</v>
      </c>
      <c r="E112" s="631">
        <f t="shared" ref="E112:I112" si="18">E113-E111</f>
        <v>2561750</v>
      </c>
      <c r="F112" s="631">
        <f t="shared" si="18"/>
        <v>2947299</v>
      </c>
      <c r="G112" s="631">
        <f t="shared" si="18"/>
        <v>3266368</v>
      </c>
      <c r="H112" s="631">
        <f t="shared" si="18"/>
        <v>3431735</v>
      </c>
      <c r="I112" s="631">
        <f t="shared" si="18"/>
        <v>3722006</v>
      </c>
      <c r="J112" s="631">
        <f>J113-J111</f>
        <v>4102959</v>
      </c>
      <c r="K112" s="631">
        <v>4343741</v>
      </c>
    </row>
    <row r="113" spans="2:11" ht="13.9" thickBot="1" x14ac:dyDescent="0.45">
      <c r="B113" s="361"/>
      <c r="C113" s="364" t="s">
        <v>371</v>
      </c>
      <c r="E113" s="632">
        <f t="shared" ref="E113:K113" si="19">E18</f>
        <v>2505385</v>
      </c>
      <c r="F113" s="632">
        <f t="shared" si="19"/>
        <v>2879628</v>
      </c>
      <c r="G113" s="632">
        <f t="shared" si="19"/>
        <v>3193063</v>
      </c>
      <c r="H113" s="632">
        <f t="shared" si="19"/>
        <v>3354787</v>
      </c>
      <c r="I113" s="632">
        <f t="shared" si="19"/>
        <v>3634568</v>
      </c>
      <c r="J113" s="632">
        <f t="shared" si="19"/>
        <v>4009046</v>
      </c>
      <c r="K113" s="632">
        <f t="shared" si="19"/>
        <v>4244850</v>
      </c>
    </row>
    <row r="114" spans="2:11" s="334" customFormat="1" ht="13.5" x14ac:dyDescent="0.4">
      <c r="C114" s="333" t="s">
        <v>328</v>
      </c>
      <c r="E114" s="452">
        <f t="shared" ref="E114:J114" si="20">IF(E108=0,0,E112-E107-E110)</f>
        <v>0</v>
      </c>
      <c r="F114" s="452">
        <f t="shared" si="20"/>
        <v>0</v>
      </c>
      <c r="G114" s="452">
        <f t="shared" si="20"/>
        <v>0</v>
      </c>
      <c r="H114" s="452">
        <f t="shared" si="20"/>
        <v>0</v>
      </c>
      <c r="I114" s="452">
        <f t="shared" si="20"/>
        <v>0</v>
      </c>
      <c r="J114" s="452">
        <f t="shared" si="20"/>
        <v>0</v>
      </c>
      <c r="K114" s="452">
        <f>IF(K108=0,0,K112-K107-K110)</f>
        <v>0</v>
      </c>
    </row>
    <row r="115" spans="2:11" x14ac:dyDescent="0.4">
      <c r="K115" s="316"/>
    </row>
    <row r="117" spans="2:11" ht="13.9" thickBot="1" x14ac:dyDescent="0.45">
      <c r="B117" s="356" t="s">
        <v>372</v>
      </c>
      <c r="C117" s="365"/>
      <c r="E117" s="316"/>
      <c r="F117" s="316"/>
      <c r="G117" s="316"/>
      <c r="H117" s="316"/>
      <c r="I117" s="316"/>
      <c r="J117" s="316"/>
      <c r="K117" s="316"/>
    </row>
    <row r="118" spans="2:11" ht="13.5" x14ac:dyDescent="0.4">
      <c r="B118" s="360"/>
      <c r="C118" s="359" t="s">
        <v>373</v>
      </c>
      <c r="E118" s="630">
        <f t="shared" ref="E118:J118" si="21">E119+E120</f>
        <v>1606610</v>
      </c>
      <c r="F118" s="630">
        <f t="shared" si="21"/>
        <v>1698617</v>
      </c>
      <c r="G118" s="630">
        <f t="shared" si="21"/>
        <v>1874267</v>
      </c>
      <c r="H118" s="630">
        <f t="shared" si="21"/>
        <v>1937781</v>
      </c>
      <c r="I118" s="630">
        <f t="shared" si="21"/>
        <v>2028477</v>
      </c>
      <c r="J118" s="630">
        <f t="shared" si="21"/>
        <v>2448173</v>
      </c>
      <c r="K118" s="630">
        <f>K127*0.4818</f>
        <v>2378970.8514</v>
      </c>
    </row>
    <row r="119" spans="2:11" ht="13.5" x14ac:dyDescent="0.4">
      <c r="B119" s="360"/>
      <c r="C119" s="359" t="s">
        <v>374</v>
      </c>
      <c r="E119" s="429">
        <f>[2]!s_stmnote_bank_614($C$6,E6,1,2,1000000)</f>
        <v>1184123</v>
      </c>
      <c r="F119" s="429">
        <f>[2]!s_stmnote_bank_614($C$6,F6,1,2,1000000)</f>
        <v>1254248</v>
      </c>
      <c r="G119" s="429">
        <f>[2]!s_stmnote_bank_614($C$6,G6,1,2,1000000)</f>
        <v>1382914</v>
      </c>
      <c r="H119" s="429">
        <f>[2]!s_stmnote_bank_614($C$6,H6,1,2,1000000)</f>
        <v>1395657</v>
      </c>
      <c r="I119" s="429">
        <f>[2]!s_stmnote_bank_614($C$6,I6,1,2,1000000)</f>
        <v>1433773</v>
      </c>
      <c r="J119" s="429">
        <f>[2]!s_stmnote_bank_614($C$6,J6,1,2,1000000)</f>
        <v>1725948</v>
      </c>
      <c r="K119" s="429">
        <f>[2]!s_stmnote_bank_614($C$6,K6,1,2,1000000)</f>
        <v>0</v>
      </c>
    </row>
    <row r="120" spans="2:11" ht="13.5" x14ac:dyDescent="0.4">
      <c r="B120" s="360"/>
      <c r="C120" s="359" t="s">
        <v>375</v>
      </c>
      <c r="E120" s="429">
        <f>[2]!s_stmnote_bank_612($C$6,E6,1,2,1000000)</f>
        <v>422487</v>
      </c>
      <c r="F120" s="429">
        <f>[2]!s_stmnote_bank_612($C$6,F6,1,2,1000000)</f>
        <v>444369</v>
      </c>
      <c r="G120" s="429">
        <f>[2]!s_stmnote_bank_612($C$6,G6,1,2,1000000)</f>
        <v>491353</v>
      </c>
      <c r="H120" s="429">
        <f>[2]!s_stmnote_bank_612($C$6,H6,1,2,1000000)</f>
        <v>542124</v>
      </c>
      <c r="I120" s="429">
        <f>[2]!s_stmnote_bank_612($C$6,I6,1,2,1000000)</f>
        <v>594704</v>
      </c>
      <c r="J120" s="429">
        <f>[2]!s_stmnote_bank_612($C$6,J6,1,2,1000000)</f>
        <v>722225</v>
      </c>
      <c r="K120" s="429">
        <f>[2]!s_stmnote_bank_612($C$6,K6,1,2,1000000)</f>
        <v>0</v>
      </c>
    </row>
    <row r="121" spans="2:11" ht="13.5" x14ac:dyDescent="0.4">
      <c r="B121" s="366"/>
      <c r="C121" s="359" t="s">
        <v>376</v>
      </c>
      <c r="E121" s="633">
        <f t="shared" ref="E121:J121" si="22">E122+E123</f>
        <v>1672312</v>
      </c>
      <c r="F121" s="633">
        <f t="shared" si="22"/>
        <v>2024814</v>
      </c>
      <c r="G121" s="633">
        <f t="shared" si="22"/>
        <v>2278458</v>
      </c>
      <c r="H121" s="633">
        <f t="shared" si="22"/>
        <v>2086392</v>
      </c>
      <c r="I121" s="633">
        <f t="shared" si="22"/>
        <v>2452538</v>
      </c>
      <c r="J121" s="633">
        <f t="shared" si="22"/>
        <v>2275628</v>
      </c>
      <c r="K121" s="633">
        <f>K127*0.5177</f>
        <v>2556233.3121000002</v>
      </c>
    </row>
    <row r="122" spans="2:11" ht="13.5" x14ac:dyDescent="0.4">
      <c r="B122" s="366"/>
      <c r="C122" s="359" t="s">
        <v>374</v>
      </c>
      <c r="E122" s="429">
        <f>[2]!s_stmnote_bank_613($C$6,E6,1,2,1000000)</f>
        <v>1064194</v>
      </c>
      <c r="F122" s="429">
        <f>[2]!s_stmnote_bank_613($C$6,F6,1,2,1000000)</f>
        <v>1269520</v>
      </c>
      <c r="G122" s="429">
        <f>[2]!s_stmnote_bank_613($C$6,G6,1,2,1000000)</f>
        <v>1418855</v>
      </c>
      <c r="H122" s="429">
        <f>[2]!s_stmnote_bank_613($C$6,H6,1,2,1000000)</f>
        <v>1270614</v>
      </c>
      <c r="I122" s="429">
        <f>[2]!s_stmnote_bank_613($C$6,I6,1,2,1000000)</f>
        <v>1596635</v>
      </c>
      <c r="J122" s="429">
        <f>[2]!s_stmnote_bank_613($C$6,J6,1,2,1000000)</f>
        <v>1480293</v>
      </c>
      <c r="K122" s="429">
        <f>[2]!s_stmnote_bank_613($C$6,K6,1,2,1000000)</f>
        <v>0</v>
      </c>
    </row>
    <row r="123" spans="2:11" ht="13.5" x14ac:dyDescent="0.4">
      <c r="B123" s="366"/>
      <c r="C123" s="359" t="s">
        <v>375</v>
      </c>
      <c r="E123" s="429">
        <f>[2]!s_stmnote_bank_611($C$6,E6,1,2,1000000)</f>
        <v>608118</v>
      </c>
      <c r="F123" s="429">
        <f>[2]!s_stmnote_bank_611($C$6,F6,1,2,1000000)</f>
        <v>755294</v>
      </c>
      <c r="G123" s="429">
        <f>[2]!s_stmnote_bank_611($C$6,G6,1,2,1000000)</f>
        <v>859603</v>
      </c>
      <c r="H123" s="429">
        <f>[2]!s_stmnote_bank_611($C$6,H6,1,2,1000000)</f>
        <v>815778</v>
      </c>
      <c r="I123" s="429">
        <f>[2]!s_stmnote_bank_611($C$6,I6,1,2,1000000)</f>
        <v>855903</v>
      </c>
      <c r="J123" s="429">
        <f>[2]!s_stmnote_bank_611($C$6,J6,1,2,1000000)</f>
        <v>795335</v>
      </c>
      <c r="K123" s="429">
        <f>[2]!s_stmnote_bank_611($C$6,K6,1,2,1000000)</f>
        <v>0</v>
      </c>
    </row>
    <row r="124" spans="2:11" ht="13.5" x14ac:dyDescent="0.4">
      <c r="B124" s="366"/>
      <c r="C124" s="359" t="s">
        <v>377</v>
      </c>
      <c r="E124" s="448">
        <f>[2]!s_stmnote_bank_615($C$6,E6,1,2,1000000)</f>
        <v>4310</v>
      </c>
      <c r="F124" s="448">
        <f>[2]!s_stmnote_bank_615($C$6,F6,1,2,1000000)</f>
        <v>4981</v>
      </c>
      <c r="G124" s="448">
        <f>[2]!s_stmnote_bank_615($C$6,G6,1,2,1000000)</f>
        <v>5108</v>
      </c>
      <c r="H124" s="448">
        <f>[2]!s_stmnote_bank_615($C$6,H6,1,2,1000000)</f>
        <v>5495</v>
      </c>
      <c r="I124" s="448">
        <f>[2]!s_stmnote_bank_615($C$6,I6,1,2,1000000)</f>
        <v>3799</v>
      </c>
      <c r="J124" s="448">
        <f>[2]!s_stmnote_bank_615($C$6,J6,1,2,1000000)</f>
        <v>4788</v>
      </c>
      <c r="K124" s="448">
        <f>[2]!s_stmnote_bank_615($C$6,K6,1,2,1000000)</f>
        <v>2469</v>
      </c>
    </row>
    <row r="125" spans="2:11" ht="13.5" x14ac:dyDescent="0.4">
      <c r="B125" s="366"/>
      <c r="C125" s="368" t="s">
        <v>378</v>
      </c>
      <c r="E125" s="435">
        <f t="shared" ref="E125:J126" si="23">E119+E122</f>
        <v>2248317</v>
      </c>
      <c r="F125" s="435">
        <f t="shared" si="23"/>
        <v>2523768</v>
      </c>
      <c r="G125" s="435">
        <f t="shared" si="23"/>
        <v>2801769</v>
      </c>
      <c r="H125" s="435">
        <f t="shared" si="23"/>
        <v>2666271</v>
      </c>
      <c r="I125" s="435">
        <f t="shared" si="23"/>
        <v>3030408</v>
      </c>
      <c r="J125" s="435">
        <f t="shared" si="23"/>
        <v>3206241</v>
      </c>
      <c r="K125" s="435">
        <v>3310215</v>
      </c>
    </row>
    <row r="126" spans="2:11" ht="13.5" x14ac:dyDescent="0.4">
      <c r="B126" s="366"/>
      <c r="C126" s="359" t="s">
        <v>379</v>
      </c>
      <c r="E126" s="435">
        <f t="shared" si="23"/>
        <v>1030605</v>
      </c>
      <c r="F126" s="435">
        <f t="shared" si="23"/>
        <v>1199663</v>
      </c>
      <c r="G126" s="435">
        <f t="shared" si="23"/>
        <v>1350956</v>
      </c>
      <c r="H126" s="435">
        <f t="shared" si="23"/>
        <v>1357902</v>
      </c>
      <c r="I126" s="435">
        <f t="shared" si="23"/>
        <v>1450607</v>
      </c>
      <c r="J126" s="435">
        <f t="shared" si="23"/>
        <v>1517560</v>
      </c>
      <c r="K126" s="435">
        <f>K127*0.3291</f>
        <v>1624988.1843000001</v>
      </c>
    </row>
    <row r="127" spans="2:11" ht="13.9" thickBot="1" x14ac:dyDescent="0.45">
      <c r="B127" s="366"/>
      <c r="C127" s="369" t="s">
        <v>380</v>
      </c>
      <c r="E127" s="612">
        <f t="shared" ref="E127:K127" si="24">E40</f>
        <v>3283232</v>
      </c>
      <c r="F127" s="612">
        <f t="shared" si="24"/>
        <v>3728412</v>
      </c>
      <c r="G127" s="612">
        <f t="shared" si="24"/>
        <v>4157833</v>
      </c>
      <c r="H127" s="612">
        <f t="shared" si="24"/>
        <v>4029668</v>
      </c>
      <c r="I127" s="612">
        <f t="shared" si="24"/>
        <v>4484814</v>
      </c>
      <c r="J127" s="612">
        <f t="shared" si="24"/>
        <v>4728589</v>
      </c>
      <c r="K127" s="612">
        <f t="shared" si="24"/>
        <v>4937673</v>
      </c>
    </row>
    <row r="128" spans="2:11" s="334" customFormat="1" ht="13.5" x14ac:dyDescent="0.4">
      <c r="B128" s="370"/>
      <c r="C128" s="333" t="s">
        <v>328</v>
      </c>
      <c r="E128" s="452">
        <f t="shared" ref="E128:K128" si="25">IF(E119=0,0,E127-E118-E121-E124)</f>
        <v>0</v>
      </c>
      <c r="F128" s="452">
        <f t="shared" si="25"/>
        <v>0</v>
      </c>
      <c r="G128" s="452">
        <f t="shared" si="25"/>
        <v>0</v>
      </c>
      <c r="H128" s="452">
        <f t="shared" si="25"/>
        <v>0</v>
      </c>
      <c r="I128" s="452">
        <f t="shared" si="25"/>
        <v>0</v>
      </c>
      <c r="J128" s="452">
        <f t="shared" si="25"/>
        <v>0</v>
      </c>
      <c r="K128" s="452">
        <f t="shared" si="25"/>
        <v>0</v>
      </c>
    </row>
    <row r="129" spans="2:11" x14ac:dyDescent="0.4">
      <c r="B129" s="366"/>
      <c r="C129" s="366"/>
    </row>
    <row r="131" spans="2:11" ht="13.5" x14ac:dyDescent="0.4">
      <c r="B131" s="356" t="s">
        <v>381</v>
      </c>
    </row>
    <row r="132" spans="2:11" ht="13.5" thickBot="1" x14ac:dyDescent="0.45">
      <c r="B132" s="371"/>
      <c r="C132" s="301"/>
      <c r="E132" s="435">
        <f t="shared" ref="E132:F132" si="26">SUM(E134,E139,E144,E145)</f>
        <v>4011141</v>
      </c>
      <c r="F132" s="435">
        <f t="shared" si="26"/>
        <v>4743767</v>
      </c>
      <c r="G132" s="435">
        <f>SUM(G134,G139,G144,G145)</f>
        <v>5347120</v>
      </c>
      <c r="H132" s="435">
        <f t="shared" ref="H132:I132" si="27">SUM(H134,H139,H144,H145)</f>
        <v>5819540</v>
      </c>
      <c r="I132" s="435">
        <f t="shared" si="27"/>
        <v>6640863</v>
      </c>
      <c r="J132" s="435">
        <f>SUM(J134,J139,J144,J145)</f>
        <v>7474706</v>
      </c>
    </row>
    <row r="133" spans="2:11" ht="13.5" x14ac:dyDescent="0.4">
      <c r="B133" s="372"/>
      <c r="C133" s="373" t="s">
        <v>564</v>
      </c>
      <c r="E133" s="634">
        <f>[2]!s_stmnote_bank_57($C$6,E6,1,1000000)</f>
        <v>3961600</v>
      </c>
      <c r="F133" s="634">
        <f>[2]!s_stmnote_bank_57($C$6,F6,1,1000000)</f>
        <v>4638428</v>
      </c>
      <c r="G133" s="634">
        <f>[2]!s_stmnote_bank_57($C$6,G6,1,1000000)</f>
        <v>5193648</v>
      </c>
      <c r="H133" s="634">
        <f>[2]!s_stmnote_bank_57($C$6,H6,1,1000000)</f>
        <v>5720454</v>
      </c>
      <c r="I133" s="634">
        <f>[2]!s_stmnote_bank_57($C$6,I6,1,1000000)</f>
        <v>6505493</v>
      </c>
      <c r="J133" s="634">
        <f>[2]!s_stmnote_bank_57($C$6,J6,1,1000000)</f>
        <v>7170237</v>
      </c>
      <c r="K133" s="634">
        <f>[2]!s_stmnote_bank_57($C$6,K6,1,1000000)</f>
        <v>0</v>
      </c>
    </row>
    <row r="134" spans="2:11" ht="13.5" x14ac:dyDescent="0.4">
      <c r="B134" s="372"/>
      <c r="C134" s="375" t="s">
        <v>383</v>
      </c>
      <c r="E134" s="635">
        <f t="shared" ref="E134" si="28">E135+E138</f>
        <v>2412662</v>
      </c>
      <c r="F134" s="635">
        <f>F135+F138</f>
        <v>2834468</v>
      </c>
      <c r="G134" s="635">
        <f>G135+G138</f>
        <v>3179693</v>
      </c>
      <c r="H134" s="635">
        <f>H135+H138</f>
        <v>3400175</v>
      </c>
      <c r="I134" s="635">
        <f>I135+I138</f>
        <v>3715611</v>
      </c>
      <c r="J134" s="635">
        <f>J135+J138</f>
        <v>4003174</v>
      </c>
      <c r="K134" s="635"/>
    </row>
    <row r="135" spans="2:11" ht="13.5" x14ac:dyDescent="0.4">
      <c r="B135" s="360"/>
      <c r="C135" s="377" t="s">
        <v>365</v>
      </c>
      <c r="E135" s="623">
        <f t="shared" ref="E135:H135" si="29">E136+E137</f>
        <v>1987303</v>
      </c>
      <c r="F135" s="623">
        <f t="shared" si="29"/>
        <v>2323428</v>
      </c>
      <c r="G135" s="623">
        <f>G136+G137</f>
        <v>2538117</v>
      </c>
      <c r="H135" s="623">
        <f t="shared" si="29"/>
        <v>2612184</v>
      </c>
      <c r="I135" s="623">
        <f>I136+I137</f>
        <v>2791277</v>
      </c>
      <c r="J135" s="623">
        <f>J136+J137</f>
        <v>2945035</v>
      </c>
      <c r="K135" s="438"/>
    </row>
    <row r="136" spans="2:11" ht="13.5" x14ac:dyDescent="0.4">
      <c r="B136" s="360"/>
      <c r="C136" s="377" t="s">
        <v>384</v>
      </c>
      <c r="E136" s="429">
        <f>[2]!s_stmnote_bank_711($C$6,E6,1,2,1000000)</f>
        <v>1896631</v>
      </c>
      <c r="F136" s="429">
        <f>[2]!s_stmnote_bank_711($C$6,F6,1,2,1000000)</f>
        <v>2161691</v>
      </c>
      <c r="G136" s="429">
        <f>[2]!s_stmnote_bank_711($C$6,G6,1,2,1000000)</f>
        <v>2449486</v>
      </c>
      <c r="H136" s="429">
        <f>[2]!s_stmnote_bank_711($C$6,H6,1,2,1000000)</f>
        <v>2500848</v>
      </c>
      <c r="I136" s="429">
        <f>[2]!s_stmnote_bank_711($C$6,I6,1,2,1000000)</f>
        <v>2670427</v>
      </c>
      <c r="J136" s="429">
        <v>2786556</v>
      </c>
      <c r="K136" s="429">
        <f>[2]!s_stmnote_bank_711($C$6,K6,1,2,1000000)</f>
        <v>0</v>
      </c>
    </row>
    <row r="137" spans="2:11" ht="13.5" x14ac:dyDescent="0.4">
      <c r="B137" s="371"/>
      <c r="C137" s="377" t="s">
        <v>385</v>
      </c>
      <c r="E137" s="429">
        <f>[2]!s_stmnote_bank_713($C$6,E6,1,2,1000000)</f>
        <v>90672</v>
      </c>
      <c r="F137" s="429">
        <f>[2]!s_stmnote_bank_713($C$6,F6,1,2,1000000)</f>
        <v>161737</v>
      </c>
      <c r="G137" s="429">
        <f>[2]!s_stmnote_bank_713($C$6,G6,1,2,1000000)</f>
        <v>88631</v>
      </c>
      <c r="H137" s="429">
        <f>[2]!s_stmnote_bank_713($C$6,H6,1,2,1000000)</f>
        <v>111336</v>
      </c>
      <c r="I137" s="429">
        <f>[2]!s_stmnote_bank_713($C$6,I6,1,2,1000000)</f>
        <v>120850</v>
      </c>
      <c r="J137" s="429">
        <v>158479</v>
      </c>
      <c r="K137" s="429">
        <f>[2]!s_stmnote_bank_713($C$6,K6,1,2,1000000)</f>
        <v>0</v>
      </c>
    </row>
    <row r="138" spans="2:11" ht="13.5" x14ac:dyDescent="0.4">
      <c r="B138" s="371"/>
      <c r="C138" s="378" t="s">
        <v>386</v>
      </c>
      <c r="E138" s="430">
        <f>[2]!s_stmnote_bank_712($C$6,E6,1,2,1000000)</f>
        <v>425359</v>
      </c>
      <c r="F138" s="430">
        <f>[2]!s_stmnote_bank_712($C$6,F6,1,2,1000000)</f>
        <v>511040</v>
      </c>
      <c r="G138" s="430">
        <f>[2]!s_stmnote_bank_712($C$6,G6,1,2,1000000)</f>
        <v>641576</v>
      </c>
      <c r="H138" s="430">
        <f>[2]!s_stmnote_bank_712($C$6,H6,1,2,1000000)</f>
        <v>787991</v>
      </c>
      <c r="I138" s="430">
        <f>[2]!s_stmnote_bank_712($C$6,I6,1,2,1000000)</f>
        <v>924334</v>
      </c>
      <c r="J138" s="430">
        <v>1058139</v>
      </c>
      <c r="K138" s="430">
        <f>[2]!s_stmnote_bank_712($C$6,K6,1,2,1000000)</f>
        <v>0</v>
      </c>
    </row>
    <row r="139" spans="2:11" ht="13.5" x14ac:dyDescent="0.4">
      <c r="B139" s="371"/>
      <c r="C139" s="379" t="s">
        <v>387</v>
      </c>
      <c r="E139" s="636">
        <v>787230</v>
      </c>
      <c r="F139" s="636">
        <v>821064</v>
      </c>
      <c r="G139" s="636">
        <v>944953</v>
      </c>
      <c r="H139" s="636">
        <v>1085207</v>
      </c>
      <c r="I139" s="636">
        <v>1365768</v>
      </c>
      <c r="J139" s="636">
        <v>1917494</v>
      </c>
      <c r="K139" s="636"/>
    </row>
    <row r="140" spans="2:11" ht="13.5" x14ac:dyDescent="0.4">
      <c r="B140" s="371"/>
      <c r="C140" s="377" t="s">
        <v>388</v>
      </c>
      <c r="E140" s="440"/>
      <c r="F140" s="440"/>
      <c r="G140" s="440"/>
      <c r="H140" s="440"/>
      <c r="I140" s="440"/>
      <c r="J140" s="440"/>
      <c r="K140" s="440"/>
    </row>
    <row r="141" spans="2:11" ht="13.5" x14ac:dyDescent="0.4">
      <c r="B141" s="371"/>
      <c r="C141" s="377" t="s">
        <v>389</v>
      </c>
      <c r="E141" s="440"/>
      <c r="F141" s="440"/>
      <c r="G141" s="440"/>
      <c r="H141" s="440"/>
      <c r="I141" s="440"/>
      <c r="J141" s="440"/>
      <c r="K141" s="440"/>
    </row>
    <row r="142" spans="2:11" ht="13.5" x14ac:dyDescent="0.4">
      <c r="B142" s="371"/>
      <c r="C142" s="381" t="s">
        <v>390</v>
      </c>
      <c r="E142" s="440"/>
      <c r="F142" s="440"/>
      <c r="G142" s="440"/>
      <c r="H142" s="440"/>
      <c r="I142" s="440"/>
      <c r="J142" s="440"/>
      <c r="K142" s="440"/>
    </row>
    <row r="143" spans="2:11" ht="13.5" x14ac:dyDescent="0.4">
      <c r="B143" s="371"/>
      <c r="C143" s="378" t="s">
        <v>391</v>
      </c>
      <c r="E143" s="637"/>
      <c r="F143" s="637"/>
      <c r="G143" s="637"/>
      <c r="H143" s="637"/>
      <c r="I143" s="637"/>
      <c r="J143" s="637"/>
      <c r="K143" s="637"/>
    </row>
    <row r="144" spans="2:11" ht="13.5" x14ac:dyDescent="0.4">
      <c r="B144" s="371"/>
      <c r="C144" s="379" t="s">
        <v>392</v>
      </c>
      <c r="E144" s="638">
        <v>602978</v>
      </c>
      <c r="F144" s="638">
        <v>721792</v>
      </c>
      <c r="G144" s="638">
        <v>798207</v>
      </c>
      <c r="H144" s="638">
        <v>838772</v>
      </c>
      <c r="I144" s="638">
        <v>879938</v>
      </c>
      <c r="J144" s="638">
        <v>940872</v>
      </c>
      <c r="K144" s="638"/>
    </row>
    <row r="145" spans="2:11" ht="13.5" x14ac:dyDescent="0.4">
      <c r="B145" s="371"/>
      <c r="C145" s="375" t="s">
        <v>393</v>
      </c>
      <c r="E145" s="636">
        <v>208271</v>
      </c>
      <c r="F145" s="636">
        <v>366443</v>
      </c>
      <c r="G145" s="636">
        <v>424267</v>
      </c>
      <c r="H145" s="636">
        <v>495386</v>
      </c>
      <c r="I145" s="636">
        <v>679546</v>
      </c>
      <c r="J145" s="636">
        <v>613166</v>
      </c>
      <c r="K145" s="636"/>
    </row>
    <row r="146" spans="2:11" ht="13.5" x14ac:dyDescent="0.4">
      <c r="B146" s="371"/>
      <c r="C146" s="377" t="s">
        <v>394</v>
      </c>
      <c r="E146" s="439"/>
      <c r="F146" s="439"/>
      <c r="G146" s="439"/>
      <c r="H146" s="439"/>
      <c r="I146" s="439"/>
      <c r="J146" s="439"/>
      <c r="K146" s="439"/>
    </row>
    <row r="147" spans="2:11" ht="13.5" x14ac:dyDescent="0.4">
      <c r="B147" s="371"/>
      <c r="C147" s="377" t="s">
        <v>280</v>
      </c>
      <c r="E147" s="440"/>
      <c r="F147" s="440"/>
      <c r="G147" s="440"/>
      <c r="H147" s="440"/>
      <c r="I147" s="440"/>
      <c r="J147" s="440"/>
      <c r="K147" s="440"/>
    </row>
    <row r="148" spans="2:11" ht="13.5" x14ac:dyDescent="0.4">
      <c r="B148" s="371"/>
      <c r="C148" s="378" t="s">
        <v>395</v>
      </c>
      <c r="E148" s="620"/>
      <c r="F148" s="620"/>
      <c r="G148" s="620"/>
      <c r="H148" s="620"/>
      <c r="I148" s="620"/>
      <c r="J148" s="620"/>
      <c r="K148" s="620"/>
    </row>
    <row r="149" spans="2:11" ht="13.9" thickBot="1" x14ac:dyDescent="0.45">
      <c r="B149" s="371"/>
      <c r="C149" s="383" t="s">
        <v>396</v>
      </c>
      <c r="E149" s="639"/>
      <c r="F149" s="639"/>
      <c r="G149" s="639"/>
      <c r="H149" s="639"/>
      <c r="I149" s="639"/>
      <c r="J149" s="639"/>
      <c r="K149" s="639"/>
    </row>
    <row r="150" spans="2:11" x14ac:dyDescent="0.4">
      <c r="B150" s="371"/>
      <c r="C150" s="366"/>
      <c r="J150" s="316"/>
    </row>
    <row r="151" spans="2:11" ht="13.5" thickBot="1" x14ac:dyDescent="0.45">
      <c r="B151" s="381"/>
      <c r="C151" s="384"/>
      <c r="E151" s="316">
        <f t="shared" ref="E151:G151" si="30">E153+E161+E162</f>
        <v>3834442</v>
      </c>
      <c r="F151" s="316">
        <f t="shared" si="30"/>
        <v>4476277</v>
      </c>
      <c r="G151" s="316">
        <f t="shared" si="30"/>
        <v>4977695</v>
      </c>
      <c r="H151" s="316">
        <f>H153+H161+H162</f>
        <v>5432330</v>
      </c>
      <c r="I151" s="316">
        <f>I153+I161+I162</f>
        <v>6247814</v>
      </c>
      <c r="J151" s="316">
        <f>J153+J161+J162</f>
        <v>7032228</v>
      </c>
    </row>
    <row r="152" spans="2:11" ht="13.5" x14ac:dyDescent="0.4">
      <c r="B152" s="371"/>
      <c r="C152" s="385" t="s">
        <v>397</v>
      </c>
      <c r="E152" s="436">
        <f>[2]!s_stmnote_bank_59($C$6,E6,1,1000000)</f>
        <v>3784901</v>
      </c>
      <c r="F152" s="436">
        <f>[2]!s_stmnote_bank_59($C$6,F6,1,1000000)</f>
        <v>4370938</v>
      </c>
      <c r="G152" s="436">
        <f>[2]!s_stmnote_bank_59($C$6,G6,1,1000000)</f>
        <v>4824223</v>
      </c>
      <c r="H152" s="436">
        <f>[2]!s_stmnote_bank_59($C$6,H6,1,1000000)</f>
        <v>5333244</v>
      </c>
      <c r="I152" s="436">
        <f>[2]!s_stmnote_bank_59($C$6,I6,1,1000000)</f>
        <v>6112444</v>
      </c>
      <c r="J152" s="436">
        <f>[2]!s_stmnote_bank_59($C$6,J6,1,1000000)</f>
        <v>6727759</v>
      </c>
      <c r="K152" s="436">
        <f>[2]!s_stmnote_bank_59($C$6,K6,1,1000000)</f>
        <v>0</v>
      </c>
    </row>
    <row r="153" spans="2:11" ht="13.5" x14ac:dyDescent="0.4">
      <c r="B153" s="371"/>
      <c r="C153" s="375" t="s">
        <v>398</v>
      </c>
      <c r="E153" s="640">
        <v>2929032</v>
      </c>
      <c r="F153" s="640">
        <v>3321407</v>
      </c>
      <c r="G153" s="640">
        <v>3764700</v>
      </c>
      <c r="H153" s="640">
        <v>3984424</v>
      </c>
      <c r="I153" s="640">
        <v>4357575</v>
      </c>
      <c r="J153" s="640">
        <v>4645472</v>
      </c>
      <c r="K153" s="640"/>
    </row>
    <row r="154" spans="2:11" ht="13.5" x14ac:dyDescent="0.4">
      <c r="B154" s="371"/>
      <c r="C154" s="377" t="s">
        <v>373</v>
      </c>
      <c r="E154" s="435">
        <f t="shared" ref="E154:K154" si="31">E155+E156</f>
        <v>0</v>
      </c>
      <c r="F154" s="435">
        <f t="shared" si="31"/>
        <v>0</v>
      </c>
      <c r="G154" s="435">
        <f t="shared" si="31"/>
        <v>0</v>
      </c>
      <c r="H154" s="435">
        <f t="shared" si="31"/>
        <v>0</v>
      </c>
      <c r="I154" s="435">
        <f t="shared" si="31"/>
        <v>0</v>
      </c>
      <c r="J154" s="435">
        <f t="shared" si="31"/>
        <v>0</v>
      </c>
      <c r="K154" s="435">
        <f t="shared" si="31"/>
        <v>0</v>
      </c>
    </row>
    <row r="155" spans="2:11" ht="13.5" x14ac:dyDescent="0.4">
      <c r="B155" s="371"/>
      <c r="C155" s="377" t="s">
        <v>399</v>
      </c>
      <c r="E155" s="429">
        <f>[2]!s_stmnote_bank_624($C$6,E6,1,2,1000000)</f>
        <v>0</v>
      </c>
      <c r="F155" s="429">
        <f>[2]!s_stmnote_bank_624($C$6,F6,1,2,1000000)</f>
        <v>0</v>
      </c>
      <c r="G155" s="429">
        <f>[2]!s_stmnote_bank_624($C$6,G6,1,2,1000000)</f>
        <v>0</v>
      </c>
      <c r="H155" s="429">
        <f>[2]!s_stmnote_bank_624($C$6,H6,1,2,1000000)</f>
        <v>0</v>
      </c>
      <c r="I155" s="429">
        <f>[2]!s_stmnote_bank_624($C$6,I6,1,2,1000000)</f>
        <v>0</v>
      </c>
      <c r="J155" s="429">
        <f>[2]!s_stmnote_bank_624($C$6,J6,1,2,1000000)</f>
        <v>0</v>
      </c>
      <c r="K155" s="429">
        <f>[2]!s_stmnote_bank_624($C$6,K6,1,2,1000000)</f>
        <v>0</v>
      </c>
    </row>
    <row r="156" spans="2:11" ht="13.5" x14ac:dyDescent="0.4">
      <c r="B156" s="371"/>
      <c r="C156" s="377" t="s">
        <v>400</v>
      </c>
      <c r="E156" s="429">
        <f>[2]!s_stmnote_bank_622($C$6,E6,1,2,1000000)</f>
        <v>0</v>
      </c>
      <c r="F156" s="429">
        <f>[2]!s_stmnote_bank_622($C$6,F6,1,2,1000000)</f>
        <v>0</v>
      </c>
      <c r="G156" s="429">
        <f>[2]!s_stmnote_bank_622($C$6,G6,1,2,1000000)</f>
        <v>0</v>
      </c>
      <c r="H156" s="429">
        <f>[2]!s_stmnote_bank_622($C$6,H6,1,2,1000000)</f>
        <v>0</v>
      </c>
      <c r="I156" s="429">
        <f>[2]!s_stmnote_bank_622($C$6,I6,1,2,1000000)</f>
        <v>0</v>
      </c>
      <c r="J156" s="429">
        <f>[2]!s_stmnote_bank_622($C$6,J6,1,2,1000000)</f>
        <v>0</v>
      </c>
      <c r="K156" s="429">
        <f>[2]!s_stmnote_bank_622($C$6,K6,1,2,1000000)</f>
        <v>0</v>
      </c>
    </row>
    <row r="157" spans="2:11" ht="13.5" x14ac:dyDescent="0.4">
      <c r="B157" s="371"/>
      <c r="C157" s="377" t="s">
        <v>376</v>
      </c>
      <c r="E157" s="641">
        <f t="shared" ref="E157:K157" si="32">E158+E159</f>
        <v>0</v>
      </c>
      <c r="F157" s="641">
        <f t="shared" si="32"/>
        <v>0</v>
      </c>
      <c r="G157" s="641">
        <f t="shared" si="32"/>
        <v>0</v>
      </c>
      <c r="H157" s="641">
        <f t="shared" si="32"/>
        <v>0</v>
      </c>
      <c r="I157" s="641">
        <f t="shared" si="32"/>
        <v>0</v>
      </c>
      <c r="J157" s="641">
        <f>J158+J159</f>
        <v>0</v>
      </c>
      <c r="K157" s="641">
        <f t="shared" si="32"/>
        <v>0</v>
      </c>
    </row>
    <row r="158" spans="2:11" ht="13.5" x14ac:dyDescent="0.4">
      <c r="B158" s="371"/>
      <c r="C158" s="377" t="s">
        <v>401</v>
      </c>
      <c r="E158" s="429">
        <f>[2]!s_stmnote_bank_623($C$6,E6,1,2,1000000)</f>
        <v>0</v>
      </c>
      <c r="F158" s="429">
        <f>[2]!s_stmnote_bank_623($C$6,F6,1,2,1000000)</f>
        <v>0</v>
      </c>
      <c r="G158" s="429">
        <f>[2]!s_stmnote_bank_623($C$6,G6,1,2,1000000)</f>
        <v>0</v>
      </c>
      <c r="H158" s="429">
        <f>[2]!s_stmnote_bank_623($C$6,H6,1,2,1000000)</f>
        <v>0</v>
      </c>
      <c r="I158" s="429">
        <f>[2]!s_stmnote_bank_623($C$6,I6,1,2,1000000)</f>
        <v>0</v>
      </c>
      <c r="J158" s="429">
        <f>[2]!s_stmnote_bank_623($C$6,J6,1,2,1000000)</f>
        <v>0</v>
      </c>
      <c r="K158" s="429">
        <f>[2]!s_stmnote_bank_623($C$6,K6,1,2,1000000)</f>
        <v>0</v>
      </c>
    </row>
    <row r="159" spans="2:11" ht="13.5" x14ac:dyDescent="0.4">
      <c r="B159" s="371"/>
      <c r="C159" s="377" t="s">
        <v>402</v>
      </c>
      <c r="E159" s="429">
        <f>[2]!s_stmnote_bank_621($C$6,E6,1,2,1000000)</f>
        <v>0</v>
      </c>
      <c r="F159" s="429">
        <f>[2]!s_stmnote_bank_621($C$6,F6,1,2,1000000)</f>
        <v>0</v>
      </c>
      <c r="G159" s="429">
        <f>[2]!s_stmnote_bank_621($C$6,G6,1,2,1000000)</f>
        <v>0</v>
      </c>
      <c r="H159" s="429">
        <f>[2]!s_stmnote_bank_621($C$6,H6,1,2,1000000)</f>
        <v>0</v>
      </c>
      <c r="I159" s="429">
        <f>[2]!s_stmnote_bank_621($C$6,I6,1,2,1000000)</f>
        <v>0</v>
      </c>
      <c r="J159" s="429">
        <f>[2]!s_stmnote_bank_621($C$6,J6,1,2,1000000)</f>
        <v>0</v>
      </c>
      <c r="K159" s="429">
        <f>[2]!s_stmnote_bank_621($C$6,K6,1,2,1000000)</f>
        <v>0</v>
      </c>
    </row>
    <row r="160" spans="2:11" ht="13.5" x14ac:dyDescent="0.4">
      <c r="B160" s="371"/>
      <c r="C160" s="378" t="s">
        <v>565</v>
      </c>
      <c r="E160" s="430">
        <f>[2]!s_stmnote_bank_625($C$6,E6,1,2,1000000)</f>
        <v>0</v>
      </c>
      <c r="F160" s="430">
        <f>[2]!s_stmnote_bank_625($C$6,F6,1,2,1000000)</f>
        <v>0</v>
      </c>
      <c r="G160" s="430">
        <f>[2]!s_stmnote_bank_625($C$6,G6,1,2,1000000)</f>
        <v>0</v>
      </c>
      <c r="H160" s="430"/>
      <c r="I160" s="430"/>
      <c r="J160" s="430">
        <f>[2]!s_stmnote_bank_625($C$6,J6,1,2,1000000)</f>
        <v>0</v>
      </c>
      <c r="K160" s="430">
        <f>[2]!s_stmnote_bank_625($C$6,K6,1,2,1000000)</f>
        <v>0</v>
      </c>
    </row>
    <row r="161" spans="2:11" ht="13.5" x14ac:dyDescent="0.4">
      <c r="B161" s="371"/>
      <c r="C161" s="379" t="s">
        <v>404</v>
      </c>
      <c r="E161" s="640">
        <v>70989</v>
      </c>
      <c r="F161" s="640">
        <v>92348</v>
      </c>
      <c r="G161" s="640">
        <v>102133</v>
      </c>
      <c r="H161" s="640">
        <v>143510</v>
      </c>
      <c r="I161" s="640">
        <v>217610</v>
      </c>
      <c r="J161" s="640">
        <v>397461</v>
      </c>
      <c r="K161" s="640"/>
    </row>
    <row r="162" spans="2:11" ht="13.5" x14ac:dyDescent="0.4">
      <c r="B162" s="371"/>
      <c r="C162" s="388" t="s">
        <v>405</v>
      </c>
      <c r="E162" s="640">
        <v>834421</v>
      </c>
      <c r="F162" s="640">
        <v>1062522</v>
      </c>
      <c r="G162" s="640">
        <v>1110862</v>
      </c>
      <c r="H162" s="640">
        <v>1304396</v>
      </c>
      <c r="I162" s="640">
        <v>1672629</v>
      </c>
      <c r="J162" s="640">
        <v>1989295</v>
      </c>
      <c r="K162" s="640"/>
    </row>
    <row r="163" spans="2:11" ht="13.5" x14ac:dyDescent="0.4">
      <c r="B163" s="371"/>
      <c r="C163" s="377" t="s">
        <v>406</v>
      </c>
      <c r="E163" s="640"/>
      <c r="F163" s="640"/>
      <c r="G163" s="640"/>
      <c r="H163" s="640"/>
      <c r="I163" s="640"/>
      <c r="J163" s="640"/>
      <c r="K163" s="640"/>
    </row>
    <row r="164" spans="2:11" ht="13.5" x14ac:dyDescent="0.4">
      <c r="B164" s="371"/>
      <c r="C164" s="377" t="s">
        <v>301</v>
      </c>
      <c r="E164" s="439"/>
      <c r="F164" s="439"/>
      <c r="G164" s="439"/>
      <c r="H164" s="439"/>
      <c r="I164" s="439"/>
      <c r="J164" s="439"/>
      <c r="K164" s="439"/>
    </row>
    <row r="165" spans="2:11" ht="13.5" x14ac:dyDescent="0.4">
      <c r="B165" s="371"/>
      <c r="C165" s="377" t="s">
        <v>566</v>
      </c>
      <c r="E165" s="439"/>
      <c r="F165" s="439"/>
      <c r="G165" s="439"/>
      <c r="H165" s="439"/>
      <c r="I165" s="439"/>
      <c r="J165" s="439"/>
      <c r="K165" s="439"/>
    </row>
    <row r="166" spans="2:11" ht="13.5" x14ac:dyDescent="0.4">
      <c r="B166" s="371"/>
      <c r="C166" s="389" t="s">
        <v>408</v>
      </c>
      <c r="E166" s="642"/>
      <c r="F166" s="642"/>
      <c r="G166" s="642"/>
      <c r="H166" s="642"/>
      <c r="I166" s="642"/>
      <c r="J166" s="642"/>
      <c r="K166" s="642"/>
    </row>
    <row r="167" spans="2:11" ht="13.9" thickBot="1" x14ac:dyDescent="0.45">
      <c r="B167" s="371"/>
      <c r="C167" s="383" t="s">
        <v>409</v>
      </c>
      <c r="E167" s="639"/>
      <c r="F167" s="639"/>
      <c r="G167" s="639"/>
      <c r="H167" s="639"/>
      <c r="I167" s="639"/>
      <c r="J167" s="639"/>
      <c r="K167" s="639"/>
    </row>
    <row r="168" spans="2:11" x14ac:dyDescent="0.4">
      <c r="I168" s="643"/>
      <c r="J168" s="643"/>
    </row>
    <row r="169" spans="2:11" ht="13.5" x14ac:dyDescent="0.4">
      <c r="B169" s="356" t="s">
        <v>410</v>
      </c>
    </row>
    <row r="170" spans="2:11" ht="13.5" thickBot="1" x14ac:dyDescent="0.45">
      <c r="B170" s="371"/>
      <c r="C170" s="301"/>
      <c r="E170" s="316">
        <f t="shared" ref="E170:J170" si="33">E172+E177+E182+E183</f>
        <v>190872</v>
      </c>
      <c r="F170" s="316">
        <f t="shared" si="33"/>
        <v>240596</v>
      </c>
      <c r="G170" s="316">
        <f t="shared" si="33"/>
        <v>259292</v>
      </c>
      <c r="H170" s="316">
        <f t="shared" si="33"/>
        <v>288509</v>
      </c>
      <c r="I170" s="316">
        <f t="shared" si="33"/>
        <v>305126</v>
      </c>
      <c r="J170" s="316">
        <f t="shared" si="33"/>
        <v>289844</v>
      </c>
    </row>
    <row r="171" spans="2:11" ht="13.5" x14ac:dyDescent="0.4">
      <c r="B171" s="303"/>
      <c r="C171" s="373" t="s">
        <v>411</v>
      </c>
      <c r="E171" s="613">
        <f t="shared" ref="E171:K171" si="34">E69</f>
        <v>190872</v>
      </c>
      <c r="F171" s="613">
        <f t="shared" si="34"/>
        <v>240596</v>
      </c>
      <c r="G171" s="613">
        <f t="shared" si="34"/>
        <v>259292</v>
      </c>
      <c r="H171" s="613">
        <f t="shared" si="34"/>
        <v>288509</v>
      </c>
      <c r="I171" s="613">
        <f t="shared" si="34"/>
        <v>305126</v>
      </c>
      <c r="J171" s="613">
        <f t="shared" si="34"/>
        <v>289844</v>
      </c>
      <c r="K171" s="613">
        <f t="shared" si="34"/>
        <v>75988</v>
      </c>
    </row>
    <row r="172" spans="2:11" ht="13.5" x14ac:dyDescent="0.4">
      <c r="B172" s="372"/>
      <c r="C172" s="375" t="s">
        <v>412</v>
      </c>
      <c r="E172" s="644">
        <f>E173+E176</f>
        <v>147162</v>
      </c>
      <c r="F172" s="645">
        <f>F173+F176</f>
        <v>185821</v>
      </c>
      <c r="G172" s="645">
        <f t="shared" ref="G172:K172" si="35">G173+G176</f>
        <v>194847</v>
      </c>
      <c r="H172" s="645">
        <f t="shared" si="35"/>
        <v>211400</v>
      </c>
      <c r="I172" s="645">
        <f t="shared" si="35"/>
        <v>214127</v>
      </c>
      <c r="J172" s="645">
        <f t="shared" si="35"/>
        <v>189973</v>
      </c>
      <c r="K172" s="645">
        <f t="shared" si="35"/>
        <v>0</v>
      </c>
    </row>
    <row r="173" spans="2:11" ht="13.5" x14ac:dyDescent="0.4">
      <c r="B173" s="360"/>
      <c r="C173" s="377" t="s">
        <v>567</v>
      </c>
      <c r="E173" s="646">
        <f t="shared" ref="E173:I173" si="36">E174+E175</f>
        <v>121014</v>
      </c>
      <c r="F173" s="646">
        <f t="shared" si="36"/>
        <v>149643</v>
      </c>
      <c r="G173" s="646">
        <f t="shared" si="36"/>
        <v>150847</v>
      </c>
      <c r="H173" s="646">
        <f t="shared" si="36"/>
        <v>156836</v>
      </c>
      <c r="I173" s="646">
        <f t="shared" si="36"/>
        <v>153035</v>
      </c>
      <c r="J173" s="646">
        <f>J174+J175</f>
        <v>130531</v>
      </c>
      <c r="K173" s="646"/>
    </row>
    <row r="174" spans="2:11" ht="13.5" x14ac:dyDescent="0.4">
      <c r="B174" s="360"/>
      <c r="C174" s="377" t="s">
        <v>414</v>
      </c>
      <c r="E174" s="647">
        <f>[2]!s_stmnote_bank_721($C$6,E6,1,2,1000000)</f>
        <v>115072</v>
      </c>
      <c r="F174" s="647">
        <f>[2]!s_stmnote_bank_721($C$6,F6,1,2,1000000)</f>
        <v>140436</v>
      </c>
      <c r="G174" s="647">
        <f>[2]!s_stmnote_bank_721($C$6,G6,1,2,1000000)</f>
        <v>147106</v>
      </c>
      <c r="H174" s="647">
        <f>[2]!s_stmnote_bank_721($C$6,H6,1,2,1000000)</f>
        <v>151990</v>
      </c>
      <c r="I174" s="647">
        <f>[2]!s_stmnote_bank_721($C$6,I6,1,2,1000000)</f>
        <v>147946</v>
      </c>
      <c r="J174" s="647">
        <f>[2]!s_stmnote_bank_721($C$6,J6,1,2,1000000)</f>
        <v>125458</v>
      </c>
      <c r="K174" s="439"/>
    </row>
    <row r="175" spans="2:11" ht="13.5" x14ac:dyDescent="0.4">
      <c r="B175" s="371"/>
      <c r="C175" s="377" t="s">
        <v>385</v>
      </c>
      <c r="E175" s="459">
        <f>[2]!s_stmnote_bank_723($C$6,E6,1,2,1000000)</f>
        <v>5942</v>
      </c>
      <c r="F175" s="459">
        <f>[2]!s_stmnote_bank_723($C$6,F6,1,2,1000000)</f>
        <v>9207</v>
      </c>
      <c r="G175" s="459">
        <f>[2]!s_stmnote_bank_723($C$6,G6,1,2,1000000)</f>
        <v>3741</v>
      </c>
      <c r="H175" s="459">
        <f>[2]!s_stmnote_bank_723($C$6,H6,1,2,1000000)</f>
        <v>4846</v>
      </c>
      <c r="I175" s="459">
        <f>[2]!s_stmnote_bank_723($C$6,I6,1,2,1000000)</f>
        <v>5089</v>
      </c>
      <c r="J175" s="459">
        <f>[2]!s_stmnote_bank_723($C$6,J6,1,2,1000000)</f>
        <v>5073</v>
      </c>
      <c r="K175" s="440"/>
    </row>
    <row r="176" spans="2:11" ht="13.5" x14ac:dyDescent="0.4">
      <c r="B176" s="371"/>
      <c r="C176" s="378" t="s">
        <v>386</v>
      </c>
      <c r="E176" s="459">
        <f>[2]!s_stmnote_bank_722($C$6,E6,1,2,1000000)</f>
        <v>26148</v>
      </c>
      <c r="F176" s="459">
        <f>[2]!s_stmnote_bank_722($C$6,F6,1,2,1000000)</f>
        <v>36178</v>
      </c>
      <c r="G176" s="459">
        <f>[2]!s_stmnote_bank_722($C$6,G6,1,2,1000000)</f>
        <v>44000</v>
      </c>
      <c r="H176" s="459">
        <f>[2]!s_stmnote_bank_722($C$6,H6,1,2,1000000)</f>
        <v>54564</v>
      </c>
      <c r="I176" s="459">
        <f>[2]!s_stmnote_bank_722($C$6,I6,1,2,1000000)</f>
        <v>61092</v>
      </c>
      <c r="J176" s="459">
        <f>[2]!s_stmnote_bank_722($C$6,J6,1,2,1000000)</f>
        <v>59442</v>
      </c>
      <c r="K176" s="620"/>
    </row>
    <row r="177" spans="2:11" ht="13.5" x14ac:dyDescent="0.4">
      <c r="B177" s="371"/>
      <c r="C177" s="379" t="s">
        <v>387</v>
      </c>
      <c r="E177" s="636">
        <v>27282</v>
      </c>
      <c r="F177" s="636">
        <v>30810</v>
      </c>
      <c r="G177" s="636">
        <v>36506</v>
      </c>
      <c r="H177" s="636">
        <v>45154</v>
      </c>
      <c r="I177" s="636">
        <v>55318</v>
      </c>
      <c r="J177" s="636">
        <v>71144</v>
      </c>
      <c r="K177" s="636"/>
    </row>
    <row r="178" spans="2:11" ht="13.5" x14ac:dyDescent="0.4">
      <c r="B178" s="371"/>
      <c r="C178" s="377" t="s">
        <v>388</v>
      </c>
      <c r="E178" s="440"/>
      <c r="F178" s="440"/>
      <c r="G178" s="440"/>
      <c r="H178" s="440"/>
      <c r="I178" s="440"/>
      <c r="J178" s="440"/>
      <c r="K178" s="440"/>
    </row>
    <row r="179" spans="2:11" ht="13.5" x14ac:dyDescent="0.4">
      <c r="B179" s="371"/>
      <c r="C179" s="377" t="s">
        <v>389</v>
      </c>
      <c r="E179" s="440"/>
      <c r="F179" s="440"/>
      <c r="G179" s="440"/>
      <c r="H179" s="440"/>
      <c r="I179" s="440"/>
      <c r="J179" s="440"/>
      <c r="K179" s="440"/>
    </row>
    <row r="180" spans="2:11" ht="13.5" x14ac:dyDescent="0.4">
      <c r="B180" s="371"/>
      <c r="C180" s="381" t="s">
        <v>390</v>
      </c>
      <c r="E180" s="440"/>
      <c r="F180" s="440"/>
      <c r="G180" s="440"/>
      <c r="H180" s="440"/>
      <c r="I180" s="440"/>
      <c r="J180" s="440"/>
      <c r="K180" s="440"/>
    </row>
    <row r="181" spans="2:11" ht="13.5" x14ac:dyDescent="0.4">
      <c r="B181" s="371"/>
      <c r="C181" s="378" t="s">
        <v>391</v>
      </c>
      <c r="E181" s="637"/>
      <c r="F181" s="637"/>
      <c r="G181" s="637"/>
      <c r="H181" s="637"/>
      <c r="I181" s="637"/>
      <c r="J181" s="637"/>
      <c r="K181" s="637"/>
    </row>
    <row r="182" spans="2:11" ht="13.5" x14ac:dyDescent="0.4">
      <c r="B182" s="371"/>
      <c r="C182" s="379" t="s">
        <v>392</v>
      </c>
      <c r="E182" s="638">
        <v>9336</v>
      </c>
      <c r="F182" s="638">
        <v>11294</v>
      </c>
      <c r="G182" s="638">
        <v>12581</v>
      </c>
      <c r="H182" s="638">
        <v>13074</v>
      </c>
      <c r="I182" s="638">
        <v>12868</v>
      </c>
      <c r="J182" s="638">
        <v>13701</v>
      </c>
      <c r="K182" s="638"/>
    </row>
    <row r="183" spans="2:11" ht="13.5" x14ac:dyDescent="0.4">
      <c r="B183" s="371"/>
      <c r="C183" s="375" t="s">
        <v>393</v>
      </c>
      <c r="E183" s="648">
        <v>7092</v>
      </c>
      <c r="F183" s="638">
        <v>12671</v>
      </c>
      <c r="G183" s="648">
        <v>15358</v>
      </c>
      <c r="H183" s="648">
        <v>18881</v>
      </c>
      <c r="I183" s="648">
        <v>22813</v>
      </c>
      <c r="J183" s="648">
        <v>15026</v>
      </c>
      <c r="K183" s="648"/>
    </row>
    <row r="184" spans="2:11" ht="13.5" x14ac:dyDescent="0.4">
      <c r="B184" s="371"/>
      <c r="C184" s="377" t="s">
        <v>394</v>
      </c>
      <c r="E184" s="439"/>
      <c r="F184" s="439"/>
      <c r="G184" s="439"/>
      <c r="H184" s="439"/>
      <c r="I184" s="439"/>
      <c r="J184" s="439"/>
      <c r="K184" s="439"/>
    </row>
    <row r="185" spans="2:11" ht="13.5" x14ac:dyDescent="0.4">
      <c r="B185" s="371"/>
      <c r="C185" s="377" t="s">
        <v>280</v>
      </c>
      <c r="E185" s="440"/>
      <c r="F185" s="440"/>
      <c r="G185" s="440"/>
      <c r="H185" s="440"/>
      <c r="I185" s="440"/>
      <c r="J185" s="440"/>
      <c r="K185" s="440"/>
    </row>
    <row r="186" spans="2:11" ht="13.5" x14ac:dyDescent="0.4">
      <c r="B186" s="371"/>
      <c r="C186" s="378" t="s">
        <v>395</v>
      </c>
      <c r="E186" s="620"/>
      <c r="F186" s="620"/>
      <c r="G186" s="620"/>
      <c r="H186" s="620"/>
      <c r="I186" s="620"/>
      <c r="J186" s="620"/>
      <c r="K186" s="620"/>
    </row>
    <row r="187" spans="2:11" ht="13.9" thickBot="1" x14ac:dyDescent="0.45">
      <c r="B187" s="371"/>
      <c r="C187" s="383" t="s">
        <v>415</v>
      </c>
      <c r="E187" s="639"/>
      <c r="F187" s="639"/>
      <c r="G187" s="639"/>
      <c r="H187" s="639"/>
      <c r="I187" s="639"/>
      <c r="J187" s="639"/>
      <c r="K187" s="639"/>
    </row>
    <row r="188" spans="2:11" s="334" customFormat="1" ht="13.5" x14ac:dyDescent="0.4">
      <c r="B188" s="395"/>
      <c r="C188" s="333" t="s">
        <v>328</v>
      </c>
      <c r="E188" s="452">
        <v>0</v>
      </c>
      <c r="F188" s="452">
        <v>0</v>
      </c>
      <c r="G188" s="452">
        <v>0</v>
      </c>
      <c r="H188" s="452">
        <f t="shared" ref="H188:I188" si="37">IF(H172=0,0,H171-H172-H177-H182-H183-H187)</f>
        <v>0</v>
      </c>
      <c r="I188" s="452">
        <f t="shared" si="37"/>
        <v>0</v>
      </c>
      <c r="J188" s="452">
        <f>IF(J172=0,0,J171-J172-J177-J182-J183-J187)</f>
        <v>0</v>
      </c>
      <c r="K188" s="452">
        <v>0</v>
      </c>
    </row>
    <row r="189" spans="2:11" x14ac:dyDescent="0.4">
      <c r="B189" s="371"/>
      <c r="C189" s="366"/>
    </row>
    <row r="190" spans="2:11" ht="13.5" thickBot="1" x14ac:dyDescent="0.45">
      <c r="B190" s="381"/>
      <c r="C190" s="384"/>
      <c r="E190" s="316">
        <f t="shared" ref="E190:J190" si="38">E192+E200+E201</f>
        <v>-88271</v>
      </c>
      <c r="F190" s="316">
        <f t="shared" si="38"/>
        <v>-120470</v>
      </c>
      <c r="G190" s="316">
        <f t="shared" si="38"/>
        <v>-128634</v>
      </c>
      <c r="H190" s="316">
        <f t="shared" si="38"/>
        <v>-153733</v>
      </c>
      <c r="I190" s="316">
        <f t="shared" si="38"/>
        <v>-160954</v>
      </c>
      <c r="J190" s="316">
        <f t="shared" si="38"/>
        <v>-154973</v>
      </c>
      <c r="K190" s="316"/>
    </row>
    <row r="191" spans="2:11" ht="13.5" x14ac:dyDescent="0.4">
      <c r="B191" s="371"/>
      <c r="C191" s="385" t="s">
        <v>568</v>
      </c>
      <c r="E191" s="613">
        <f t="shared" ref="E191:K191" si="39">E70</f>
        <v>-88271</v>
      </c>
      <c r="F191" s="613">
        <f t="shared" si="39"/>
        <v>-120470</v>
      </c>
      <c r="G191" s="613">
        <f>G70</f>
        <v>-128634</v>
      </c>
      <c r="H191" s="613">
        <f>H70</f>
        <v>-153733</v>
      </c>
      <c r="I191" s="613">
        <f t="shared" si="39"/>
        <v>-160954</v>
      </c>
      <c r="J191" s="613">
        <f t="shared" si="39"/>
        <v>-154973</v>
      </c>
      <c r="K191" s="613">
        <f t="shared" si="39"/>
        <v>-44771</v>
      </c>
    </row>
    <row r="192" spans="2:11" ht="13.5" x14ac:dyDescent="0.4">
      <c r="B192" s="371"/>
      <c r="C192" s="375" t="s">
        <v>398</v>
      </c>
      <c r="E192" s="649">
        <v>-54396</v>
      </c>
      <c r="F192" s="649">
        <v>-72731</v>
      </c>
      <c r="G192" s="649">
        <v>-80671</v>
      </c>
      <c r="H192" s="649">
        <v>-93826</v>
      </c>
      <c r="I192" s="649">
        <v>-97743</v>
      </c>
      <c r="J192" s="649">
        <v>-86392</v>
      </c>
      <c r="K192" s="650"/>
    </row>
    <row r="193" spans="2:11" s="310" customFormat="1" ht="13.5" x14ac:dyDescent="0.4">
      <c r="B193" s="397"/>
      <c r="C193" s="398" t="s">
        <v>373</v>
      </c>
      <c r="E193" s="651">
        <f t="shared" ref="E193:I193" si="40">E194+E195</f>
        <v>0</v>
      </c>
      <c r="F193" s="651">
        <f t="shared" si="40"/>
        <v>0</v>
      </c>
      <c r="G193" s="651">
        <f t="shared" si="40"/>
        <v>0</v>
      </c>
      <c r="H193" s="651">
        <f t="shared" si="40"/>
        <v>0</v>
      </c>
      <c r="I193" s="651">
        <f t="shared" si="40"/>
        <v>0</v>
      </c>
      <c r="J193" s="651">
        <f>J194+J195</f>
        <v>0</v>
      </c>
      <c r="K193" s="651"/>
    </row>
    <row r="194" spans="2:11" ht="13.5" x14ac:dyDescent="0.4">
      <c r="B194" s="371"/>
      <c r="C194" s="377" t="s">
        <v>399</v>
      </c>
      <c r="E194" s="440">
        <f>-[2]!s_stmnote_bank_634($C$6,E6,1,2,1000000)</f>
        <v>0</v>
      </c>
      <c r="F194" s="440">
        <f>-[2]!s_stmnote_bank_634($C$6,F6,1,2,1000000)</f>
        <v>0</v>
      </c>
      <c r="G194" s="440">
        <f>-[2]!s_stmnote_bank_634($C$6,G6,1,2,1000000)</f>
        <v>0</v>
      </c>
      <c r="H194" s="440">
        <f>-[2]!s_stmnote_bank_634($C$6,H6,1,2,1000000)</f>
        <v>0</v>
      </c>
      <c r="I194" s="440">
        <f>-[2]!s_stmnote_bank_634($C$6,I6,1,2,1000000)</f>
        <v>0</v>
      </c>
      <c r="J194" s="440">
        <f>-[2]!s_stmnote_bank_634($C$6,J6,1,2,1000000)</f>
        <v>0</v>
      </c>
      <c r="K194" s="440"/>
    </row>
    <row r="195" spans="2:11" ht="13.5" x14ac:dyDescent="0.4">
      <c r="B195" s="371"/>
      <c r="C195" s="377" t="s">
        <v>400</v>
      </c>
      <c r="E195" s="440">
        <f>-[2]!s_stmnote_bank_632($C$6,E6,1,2,1000000)</f>
        <v>0</v>
      </c>
      <c r="F195" s="440">
        <f>-[2]!s_stmnote_bank_632($C$6,F6,1,2,1000000)</f>
        <v>0</v>
      </c>
      <c r="G195" s="440">
        <f>-[2]!s_stmnote_bank_632($C$6,G6,1,2,1000000)</f>
        <v>0</v>
      </c>
      <c r="H195" s="440">
        <f>-[2]!s_stmnote_bank_632($C$6,H6,1,2,1000000)</f>
        <v>0</v>
      </c>
      <c r="I195" s="440">
        <f>-[2]!s_stmnote_bank_632($C$6,I6,1,2,1000000)</f>
        <v>0</v>
      </c>
      <c r="J195" s="440">
        <f>-[2]!s_stmnote_bank_632($C$6,J6,1,2,1000000)</f>
        <v>0</v>
      </c>
      <c r="K195" s="440"/>
    </row>
    <row r="196" spans="2:11" s="310" customFormat="1" ht="13.5" x14ac:dyDescent="0.4">
      <c r="B196" s="397"/>
      <c r="C196" s="398" t="s">
        <v>376</v>
      </c>
      <c r="E196" s="652">
        <f t="shared" ref="E196:I196" si="41">E197+E198</f>
        <v>0</v>
      </c>
      <c r="F196" s="652">
        <f t="shared" si="41"/>
        <v>0</v>
      </c>
      <c r="G196" s="652">
        <f t="shared" si="41"/>
        <v>0</v>
      </c>
      <c r="H196" s="652">
        <f t="shared" si="41"/>
        <v>0</v>
      </c>
      <c r="I196" s="652">
        <f t="shared" si="41"/>
        <v>0</v>
      </c>
      <c r="J196" s="652">
        <f>J197+J198</f>
        <v>0</v>
      </c>
      <c r="K196" s="652"/>
    </row>
    <row r="197" spans="2:11" ht="13.5" x14ac:dyDescent="0.4">
      <c r="B197" s="371"/>
      <c r="C197" s="377" t="s">
        <v>401</v>
      </c>
      <c r="E197" s="440">
        <f>-[2]!s_stmnote_bank_633($C$6,E6,1,2,1000000)</f>
        <v>0</v>
      </c>
      <c r="F197" s="440">
        <f>-[2]!s_stmnote_bank_633($C$6,F6,1,2,1000000)</f>
        <v>0</v>
      </c>
      <c r="G197" s="440">
        <f>-[2]!s_stmnote_bank_633($C$6,G6,1,2,1000000)</f>
        <v>0</v>
      </c>
      <c r="H197" s="440">
        <f>-[2]!s_stmnote_bank_633($C$6,H6,1,2,1000000)</f>
        <v>0</v>
      </c>
      <c r="I197" s="440">
        <f>-[2]!s_stmnote_bank_633($C$6,I6,1,2,1000000)</f>
        <v>0</v>
      </c>
      <c r="J197" s="440">
        <f>-[2]!s_stmnote_bank_633($C$6,J6,1,2,1000000)</f>
        <v>0</v>
      </c>
      <c r="K197" s="440"/>
    </row>
    <row r="198" spans="2:11" ht="13.5" x14ac:dyDescent="0.4">
      <c r="B198" s="371"/>
      <c r="C198" s="377" t="s">
        <v>402</v>
      </c>
      <c r="E198" s="440">
        <f>-[2]!s_stmnote_bank_631($C$6,E6,1,2,1000000)</f>
        <v>0</v>
      </c>
      <c r="F198" s="440">
        <f>-[2]!s_stmnote_bank_631($C$6,F6,1,2,1000000)</f>
        <v>0</v>
      </c>
      <c r="G198" s="440">
        <f>-[2]!s_stmnote_bank_631($C$6,G6,1,2,1000000)</f>
        <v>0</v>
      </c>
      <c r="H198" s="440">
        <f>-[2]!s_stmnote_bank_631($C$6,H6,1,2,1000000)</f>
        <v>0</v>
      </c>
      <c r="I198" s="440">
        <f>-[2]!s_stmnote_bank_631($C$6,I6,1,2,1000000)</f>
        <v>0</v>
      </c>
      <c r="J198" s="440">
        <f>-[2]!s_stmnote_bank_631($C$6,J6,1,2,1000000)</f>
        <v>0</v>
      </c>
      <c r="K198" s="440"/>
    </row>
    <row r="199" spans="2:11" ht="13.5" x14ac:dyDescent="0.4">
      <c r="B199" s="371"/>
      <c r="C199" s="378" t="s">
        <v>565</v>
      </c>
      <c r="J199" s="652"/>
    </row>
    <row r="200" spans="2:11" ht="13.5" x14ac:dyDescent="0.4">
      <c r="B200" s="371"/>
      <c r="C200" s="379" t="s">
        <v>404</v>
      </c>
      <c r="E200" s="640">
        <v>-2426</v>
      </c>
      <c r="F200" s="640">
        <v>-3581</v>
      </c>
      <c r="G200" s="640">
        <v>-3935</v>
      </c>
      <c r="H200" s="640">
        <v>-5566</v>
      </c>
      <c r="I200" s="640">
        <v>-7999</v>
      </c>
      <c r="J200" s="640">
        <v>-12861</v>
      </c>
      <c r="K200" s="640"/>
    </row>
    <row r="201" spans="2:11" ht="13.5" x14ac:dyDescent="0.4">
      <c r="B201" s="371"/>
      <c r="C201" s="388" t="s">
        <v>405</v>
      </c>
      <c r="E201" s="653">
        <v>-31449</v>
      </c>
      <c r="F201" s="653">
        <v>-44158</v>
      </c>
      <c r="G201" s="653">
        <v>-44028</v>
      </c>
      <c r="H201" s="653">
        <v>-54341</v>
      </c>
      <c r="I201" s="653">
        <v>-55212</v>
      </c>
      <c r="J201" s="653">
        <v>-55720</v>
      </c>
      <c r="K201" s="653"/>
    </row>
    <row r="202" spans="2:11" ht="13.5" x14ac:dyDescent="0.4">
      <c r="B202" s="371"/>
      <c r="C202" s="377" t="s">
        <v>406</v>
      </c>
      <c r="E202" s="439"/>
      <c r="F202" s="439"/>
      <c r="G202" s="439"/>
      <c r="H202" s="439"/>
      <c r="I202" s="439"/>
      <c r="J202" s="439"/>
      <c r="K202" s="439"/>
    </row>
    <row r="203" spans="2:11" ht="13.5" x14ac:dyDescent="0.4">
      <c r="B203" s="371"/>
      <c r="C203" s="377" t="s">
        <v>301</v>
      </c>
      <c r="E203" s="440"/>
      <c r="F203" s="440"/>
      <c r="G203" s="440"/>
      <c r="H203" s="440"/>
      <c r="I203" s="440"/>
      <c r="J203" s="440"/>
      <c r="K203" s="440"/>
    </row>
    <row r="204" spans="2:11" ht="13.5" x14ac:dyDescent="0.4">
      <c r="B204" s="371"/>
      <c r="C204" s="377" t="s">
        <v>566</v>
      </c>
      <c r="E204" s="440"/>
      <c r="F204" s="440"/>
      <c r="G204" s="440"/>
      <c r="H204" s="440"/>
      <c r="I204" s="440"/>
      <c r="J204" s="440"/>
      <c r="K204" s="440"/>
    </row>
    <row r="205" spans="2:11" ht="13.5" x14ac:dyDescent="0.4">
      <c r="B205" s="371"/>
      <c r="C205" s="389" t="s">
        <v>408</v>
      </c>
      <c r="E205" s="642"/>
      <c r="F205" s="642"/>
      <c r="G205" s="642"/>
      <c r="H205" s="642"/>
      <c r="I205" s="642"/>
      <c r="J205" s="642"/>
      <c r="K205" s="642"/>
    </row>
    <row r="206" spans="2:11" ht="13.9" thickBot="1" x14ac:dyDescent="0.45">
      <c r="B206" s="371"/>
      <c r="C206" s="383" t="s">
        <v>418</v>
      </c>
      <c r="E206" s="654"/>
      <c r="F206" s="654"/>
      <c r="G206" s="654"/>
      <c r="H206" s="654"/>
      <c r="I206" s="654"/>
      <c r="J206" s="654"/>
      <c r="K206" s="654"/>
    </row>
    <row r="207" spans="2:11" s="404" customFormat="1" ht="13.5" x14ac:dyDescent="0.4">
      <c r="B207" s="403"/>
      <c r="C207" s="333" t="s">
        <v>328</v>
      </c>
      <c r="E207" s="452">
        <v>0</v>
      </c>
      <c r="F207" s="452">
        <v>0</v>
      </c>
      <c r="G207" s="452">
        <v>0</v>
      </c>
      <c r="H207" s="452">
        <f t="shared" ref="H207" si="42">IF(H192=0,0,H191-H192-H200-H201)</f>
        <v>0</v>
      </c>
      <c r="I207" s="452">
        <f>IF(I192=0,0,I191-I192-I200-I201)</f>
        <v>0</v>
      </c>
      <c r="J207" s="452">
        <f>IF(J192=0,0,J191-J192-J200-J201)</f>
        <v>0</v>
      </c>
      <c r="K207" s="452">
        <v>0</v>
      </c>
    </row>
    <row r="208" spans="2:11" s="310" customFormat="1" x14ac:dyDescent="0.4">
      <c r="B208" s="397"/>
      <c r="C208" s="405"/>
      <c r="E208" s="406"/>
      <c r="F208" s="406"/>
      <c r="G208" s="406"/>
      <c r="H208" s="406"/>
      <c r="I208" s="406"/>
      <c r="J208" s="406"/>
      <c r="K208" s="406"/>
    </row>
    <row r="210" spans="2:11" ht="13.5" x14ac:dyDescent="0.4">
      <c r="B210" s="356" t="s">
        <v>419</v>
      </c>
    </row>
    <row r="211" spans="2:11" ht="13.5" thickBot="1" x14ac:dyDescent="0.45">
      <c r="B211" s="371"/>
      <c r="C211" s="301"/>
    </row>
    <row r="212" spans="2:11" ht="13.5" x14ac:dyDescent="0.4">
      <c r="B212" s="372"/>
      <c r="C212" s="373" t="s">
        <v>420</v>
      </c>
      <c r="E212" s="407">
        <f>[2]!s_stmnote_bank_58($C$6,E6,1)/100</f>
        <v>4.7699999999999992E-2</v>
      </c>
      <c r="F212" s="407">
        <f>[2]!s_stmnote_bank_58($C$6,F6,1)/100</f>
        <v>5.0999999999999997E-2</v>
      </c>
      <c r="G212" s="407">
        <f>[2]!s_stmnote_bank_58($C$6,G6,1)/100</f>
        <v>4.8899999999999999E-2</v>
      </c>
      <c r="H212" s="408">
        <f t="shared" ref="H212:J213" si="43">H171/H133</f>
        <v>5.0434633335046483E-2</v>
      </c>
      <c r="I212" s="408">
        <f t="shared" si="43"/>
        <v>4.6902825043390252E-2</v>
      </c>
      <c r="J212" s="408">
        <f t="shared" si="43"/>
        <v>4.0423210557754226E-2</v>
      </c>
      <c r="K212" s="407"/>
    </row>
    <row r="213" spans="2:11" ht="13.5" x14ac:dyDescent="0.4">
      <c r="B213" s="372"/>
      <c r="C213" s="389" t="s">
        <v>412</v>
      </c>
      <c r="E213" s="409"/>
      <c r="F213" s="409"/>
      <c r="G213" s="409"/>
      <c r="H213" s="409">
        <f t="shared" si="43"/>
        <v>6.2173270493430487E-2</v>
      </c>
      <c r="I213" s="409">
        <f t="shared" si="43"/>
        <v>5.7629014447421974E-2</v>
      </c>
      <c r="J213" s="409">
        <f t="shared" si="43"/>
        <v>4.7455593986171975E-2</v>
      </c>
      <c r="K213" s="409"/>
    </row>
    <row r="214" spans="2:11" ht="13.5" x14ac:dyDescent="0.4">
      <c r="B214" s="360"/>
      <c r="C214" s="377" t="s">
        <v>365</v>
      </c>
      <c r="E214" s="410"/>
      <c r="F214" s="410"/>
      <c r="G214" s="410"/>
      <c r="H214" s="411"/>
      <c r="I214" s="410"/>
      <c r="J214" s="409"/>
      <c r="K214" s="410"/>
    </row>
    <row r="215" spans="2:11" ht="13.5" x14ac:dyDescent="0.4">
      <c r="B215" s="360"/>
      <c r="C215" s="377" t="s">
        <v>366</v>
      </c>
      <c r="E215" s="409">
        <f t="shared" ref="E215:J218" si="44">E174/E136</f>
        <v>6.0671791191855451E-2</v>
      </c>
      <c r="F215" s="409">
        <f t="shared" si="44"/>
        <v>6.4965806861387684E-2</v>
      </c>
      <c r="G215" s="409">
        <f t="shared" si="44"/>
        <v>6.0055864781427611E-2</v>
      </c>
      <c r="H215" s="409">
        <f t="shared" si="44"/>
        <v>6.0775384989411589E-2</v>
      </c>
      <c r="I215" s="409">
        <f t="shared" si="44"/>
        <v>5.5401626781035392E-2</v>
      </c>
      <c r="J215" s="409">
        <f t="shared" si="44"/>
        <v>4.5022601376035511E-2</v>
      </c>
      <c r="K215" s="412"/>
    </row>
    <row r="216" spans="2:11" ht="13.5" x14ac:dyDescent="0.4">
      <c r="B216" s="371"/>
      <c r="C216" s="377" t="s">
        <v>385</v>
      </c>
      <c r="E216" s="409">
        <f t="shared" si="44"/>
        <v>6.5532909828833599E-2</v>
      </c>
      <c r="F216" s="409">
        <f t="shared" si="44"/>
        <v>5.692574982842516E-2</v>
      </c>
      <c r="G216" s="409">
        <f t="shared" si="44"/>
        <v>4.2208708014125983E-2</v>
      </c>
      <c r="H216" s="409">
        <f t="shared" si="44"/>
        <v>4.3525903571171948E-2</v>
      </c>
      <c r="I216" s="409">
        <f t="shared" si="44"/>
        <v>4.2110053785684734E-2</v>
      </c>
      <c r="J216" s="409">
        <f t="shared" si="44"/>
        <v>3.2010550293729768E-2</v>
      </c>
      <c r="K216" s="412"/>
    </row>
    <row r="217" spans="2:11" ht="13.5" x14ac:dyDescent="0.4">
      <c r="B217" s="371"/>
      <c r="C217" s="378" t="s">
        <v>386</v>
      </c>
      <c r="E217" s="409">
        <f t="shared" si="44"/>
        <v>6.1472779463935173E-2</v>
      </c>
      <c r="F217" s="409">
        <f t="shared" si="44"/>
        <v>7.0792892924232936E-2</v>
      </c>
      <c r="G217" s="409">
        <f t="shared" si="44"/>
        <v>6.8581118994476109E-2</v>
      </c>
      <c r="H217" s="409">
        <f t="shared" si="44"/>
        <v>6.9244445685293365E-2</v>
      </c>
      <c r="I217" s="409">
        <f t="shared" si="44"/>
        <v>6.609299235990454E-2</v>
      </c>
      <c r="J217" s="409">
        <f t="shared" si="44"/>
        <v>5.6175984440607521E-2</v>
      </c>
      <c r="K217" s="413"/>
    </row>
    <row r="218" spans="2:11" ht="13.5" x14ac:dyDescent="0.4">
      <c r="B218" s="371"/>
      <c r="C218" s="414" t="s">
        <v>387</v>
      </c>
      <c r="E218" s="410"/>
      <c r="F218" s="410"/>
      <c r="G218" s="410"/>
      <c r="H218" s="411">
        <f t="shared" si="44"/>
        <v>4.1608651621303588E-2</v>
      </c>
      <c r="I218" s="411">
        <f t="shared" si="44"/>
        <v>4.0503218701858586E-2</v>
      </c>
      <c r="J218" s="411">
        <f t="shared" si="44"/>
        <v>3.7102593280604793E-2</v>
      </c>
      <c r="K218" s="410"/>
    </row>
    <row r="219" spans="2:11" ht="13.5" x14ac:dyDescent="0.4">
      <c r="B219" s="371"/>
      <c r="C219" s="377" t="s">
        <v>388</v>
      </c>
      <c r="E219" s="412"/>
      <c r="F219" s="412"/>
      <c r="G219" s="412"/>
      <c r="H219" s="412"/>
      <c r="I219" s="412"/>
      <c r="J219" s="412"/>
      <c r="K219" s="412"/>
    </row>
    <row r="220" spans="2:11" ht="13.5" x14ac:dyDescent="0.4">
      <c r="B220" s="371"/>
      <c r="C220" s="377" t="s">
        <v>389</v>
      </c>
      <c r="E220" s="412"/>
      <c r="F220" s="412"/>
      <c r="G220" s="412"/>
      <c r="H220" s="412"/>
      <c r="I220" s="412"/>
      <c r="J220" s="412"/>
      <c r="K220" s="412"/>
    </row>
    <row r="221" spans="2:11" ht="13.5" x14ac:dyDescent="0.4">
      <c r="B221" s="371"/>
      <c r="C221" s="381" t="s">
        <v>390</v>
      </c>
      <c r="E221" s="412"/>
      <c r="F221" s="412"/>
      <c r="G221" s="412"/>
      <c r="H221" s="412"/>
      <c r="I221" s="412"/>
      <c r="J221" s="412"/>
      <c r="K221" s="412"/>
    </row>
    <row r="222" spans="2:11" ht="13.5" x14ac:dyDescent="0.4">
      <c r="B222" s="371"/>
      <c r="C222" s="378" t="s">
        <v>391</v>
      </c>
      <c r="E222" s="413"/>
      <c r="F222" s="413"/>
      <c r="G222" s="413"/>
      <c r="H222" s="413"/>
      <c r="I222" s="413"/>
      <c r="J222" s="413"/>
      <c r="K222" s="413"/>
    </row>
    <row r="223" spans="2:11" ht="13.5" x14ac:dyDescent="0.4">
      <c r="B223" s="371"/>
      <c r="C223" s="414" t="s">
        <v>392</v>
      </c>
      <c r="E223" s="415"/>
      <c r="F223" s="411">
        <f t="shared" ref="F223:J224" si="45">F182/F144</f>
        <v>1.5647167050895548E-2</v>
      </c>
      <c r="G223" s="411">
        <f t="shared" si="45"/>
        <v>1.5761575631383837E-2</v>
      </c>
      <c r="H223" s="411">
        <f t="shared" si="45"/>
        <v>1.5587072529841244E-2</v>
      </c>
      <c r="I223" s="411">
        <f t="shared" si="45"/>
        <v>1.4623757582920616E-2</v>
      </c>
      <c r="J223" s="411">
        <f t="shared" si="45"/>
        <v>1.4562023314542254E-2</v>
      </c>
      <c r="K223" s="415"/>
    </row>
    <row r="224" spans="2:11" ht="13.5" x14ac:dyDescent="0.4">
      <c r="B224" s="371"/>
      <c r="C224" s="389" t="s">
        <v>393</v>
      </c>
      <c r="E224" s="409"/>
      <c r="F224" s="411">
        <f t="shared" si="45"/>
        <v>3.457836553024618E-2</v>
      </c>
      <c r="G224" s="411">
        <f t="shared" si="45"/>
        <v>3.6198903049259074E-2</v>
      </c>
      <c r="H224" s="411">
        <f t="shared" si="45"/>
        <v>3.8113713346763937E-2</v>
      </c>
      <c r="I224" s="411">
        <f t="shared" si="45"/>
        <v>3.3570942953089267E-2</v>
      </c>
      <c r="J224" s="411">
        <f t="shared" si="45"/>
        <v>2.4505598810110149E-2</v>
      </c>
      <c r="K224" s="409"/>
    </row>
    <row r="225" spans="2:11" ht="13.5" x14ac:dyDescent="0.4">
      <c r="B225" s="395"/>
      <c r="C225" s="377" t="s">
        <v>394</v>
      </c>
      <c r="E225" s="410"/>
      <c r="F225" s="410"/>
      <c r="G225" s="410"/>
      <c r="H225" s="410"/>
      <c r="I225" s="410"/>
      <c r="J225" s="410"/>
      <c r="K225" s="410"/>
    </row>
    <row r="226" spans="2:11" ht="13.5" x14ac:dyDescent="0.4">
      <c r="B226" s="371"/>
      <c r="C226" s="377" t="s">
        <v>280</v>
      </c>
      <c r="E226" s="412"/>
      <c r="F226" s="412"/>
      <c r="G226" s="412"/>
      <c r="H226" s="412"/>
      <c r="I226" s="412"/>
      <c r="J226" s="412"/>
      <c r="K226" s="412"/>
    </row>
    <row r="227" spans="2:11" ht="13.5" x14ac:dyDescent="0.4">
      <c r="B227" s="371"/>
      <c r="C227" s="378" t="s">
        <v>395</v>
      </c>
      <c r="E227" s="413"/>
      <c r="F227" s="413"/>
      <c r="G227" s="413"/>
      <c r="H227" s="413"/>
      <c r="I227" s="413"/>
      <c r="J227" s="413"/>
      <c r="K227" s="413"/>
    </row>
    <row r="228" spans="2:11" ht="13.9" thickBot="1" x14ac:dyDescent="0.45">
      <c r="B228" s="371"/>
      <c r="C228" s="383" t="s">
        <v>421</v>
      </c>
      <c r="E228" s="416"/>
      <c r="F228" s="416"/>
      <c r="G228" s="416"/>
      <c r="H228" s="416"/>
      <c r="I228" s="416"/>
      <c r="J228" s="416"/>
      <c r="K228" s="416"/>
    </row>
    <row r="229" spans="2:11" x14ac:dyDescent="0.4">
      <c r="B229" s="371"/>
      <c r="C229" s="366"/>
    </row>
    <row r="230" spans="2:11" ht="13.5" thickBot="1" x14ac:dyDescent="0.45">
      <c r="B230" s="381"/>
      <c r="C230" s="384"/>
    </row>
    <row r="231" spans="2:11" ht="13.5" x14ac:dyDescent="0.4">
      <c r="B231" s="371"/>
      <c r="C231" s="389" t="s">
        <v>422</v>
      </c>
      <c r="E231" s="417">
        <f>[2]!s_stmnote_bank_60($C$6,E6,1)/100</f>
        <v>2.2799999999999997E-2</v>
      </c>
      <c r="F231" s="417">
        <f>[2]!s_stmnote_bank_60($C$6,F6,1)/100</f>
        <v>2.6699999999999998E-2</v>
      </c>
      <c r="G231" s="417">
        <f>[2]!s_stmnote_bank_60($C$6,G6,1)/100</f>
        <v>2.5600000000000001E-2</v>
      </c>
      <c r="H231" s="417">
        <f>[2]!s_stmnote_bank_60($C$6,H6,1)/100</f>
        <v>2.8199999999999999E-2</v>
      </c>
      <c r="I231" s="417">
        <f>[2]!s_stmnote_bank_60($C$6,I6,1)/100</f>
        <v>2.5699999999999997E-2</v>
      </c>
      <c r="J231" s="417">
        <f>[2]!s_stmnote_bank_60($C$6,J6,1)/100</f>
        <v>2.1700000000000001E-2</v>
      </c>
      <c r="K231" s="417"/>
    </row>
    <row r="232" spans="2:11" ht="13.5" x14ac:dyDescent="0.4">
      <c r="B232" s="371"/>
      <c r="C232" s="418" t="s">
        <v>398</v>
      </c>
      <c r="E232" s="655"/>
      <c r="F232" s="411">
        <f>-F192/F153</f>
        <v>2.1897647593324153E-2</v>
      </c>
      <c r="G232" s="411">
        <f>-G192/G153</f>
        <v>2.1428267856668525E-2</v>
      </c>
      <c r="H232" s="411">
        <f>-H192/H153</f>
        <v>2.3548196677863602E-2</v>
      </c>
      <c r="I232" s="411">
        <f t="shared" ref="I232" si="46">-I192/I153</f>
        <v>2.2430594998364917E-2</v>
      </c>
      <c r="J232" s="411">
        <f>-J192/J153</f>
        <v>1.8597033842847402E-2</v>
      </c>
      <c r="K232" s="411"/>
    </row>
    <row r="233" spans="2:11" s="347" customFormat="1" ht="13.5" x14ac:dyDescent="0.4">
      <c r="B233" s="372"/>
      <c r="C233" s="381" t="s">
        <v>373</v>
      </c>
      <c r="E233" s="412"/>
      <c r="F233" s="412"/>
      <c r="G233" s="412"/>
      <c r="H233" s="412"/>
      <c r="I233" s="412"/>
      <c r="J233" s="415"/>
      <c r="K233" s="412"/>
    </row>
    <row r="234" spans="2:11" s="347" customFormat="1" ht="13.5" x14ac:dyDescent="0.4">
      <c r="B234" s="372"/>
      <c r="C234" s="381" t="s">
        <v>399</v>
      </c>
      <c r="E234" s="415" t="e">
        <f t="shared" ref="E234:J238" si="47">-E194/E155</f>
        <v>#DIV/0!</v>
      </c>
      <c r="F234" s="415" t="e">
        <f t="shared" si="47"/>
        <v>#DIV/0!</v>
      </c>
      <c r="G234" s="415" t="e">
        <f t="shared" si="47"/>
        <v>#DIV/0!</v>
      </c>
      <c r="H234" s="415" t="e">
        <f t="shared" si="47"/>
        <v>#DIV/0!</v>
      </c>
      <c r="I234" s="415" t="e">
        <f t="shared" si="47"/>
        <v>#DIV/0!</v>
      </c>
      <c r="J234" s="415" t="e">
        <f t="shared" si="47"/>
        <v>#DIV/0!</v>
      </c>
      <c r="K234" s="412"/>
    </row>
    <row r="235" spans="2:11" s="347" customFormat="1" ht="13.5" x14ac:dyDescent="0.4">
      <c r="B235" s="372"/>
      <c r="C235" s="381" t="s">
        <v>400</v>
      </c>
      <c r="E235" s="415" t="e">
        <f t="shared" si="47"/>
        <v>#DIV/0!</v>
      </c>
      <c r="F235" s="415" t="e">
        <f t="shared" si="47"/>
        <v>#DIV/0!</v>
      </c>
      <c r="G235" s="415" t="e">
        <f t="shared" si="47"/>
        <v>#DIV/0!</v>
      </c>
      <c r="H235" s="415" t="e">
        <f t="shared" si="47"/>
        <v>#DIV/0!</v>
      </c>
      <c r="I235" s="415" t="e">
        <f t="shared" si="47"/>
        <v>#DIV/0!</v>
      </c>
      <c r="J235" s="415" t="e">
        <f t="shared" si="47"/>
        <v>#DIV/0!</v>
      </c>
      <c r="K235" s="412"/>
    </row>
    <row r="236" spans="2:11" s="347" customFormat="1" ht="13.5" x14ac:dyDescent="0.4">
      <c r="B236" s="372"/>
      <c r="C236" s="381" t="s">
        <v>376</v>
      </c>
      <c r="E236" s="415"/>
      <c r="F236" s="415"/>
      <c r="G236" s="415"/>
      <c r="H236" s="415"/>
      <c r="I236" s="415"/>
      <c r="J236" s="415"/>
      <c r="K236" s="412"/>
    </row>
    <row r="237" spans="2:11" s="347" customFormat="1" ht="13.5" x14ac:dyDescent="0.4">
      <c r="B237" s="372"/>
      <c r="C237" s="381" t="s">
        <v>401</v>
      </c>
      <c r="E237" s="415" t="e">
        <f t="shared" si="47"/>
        <v>#DIV/0!</v>
      </c>
      <c r="F237" s="415" t="e">
        <f t="shared" si="47"/>
        <v>#DIV/0!</v>
      </c>
      <c r="G237" s="415" t="e">
        <f t="shared" si="47"/>
        <v>#DIV/0!</v>
      </c>
      <c r="H237" s="415" t="e">
        <f t="shared" si="47"/>
        <v>#DIV/0!</v>
      </c>
      <c r="I237" s="415" t="e">
        <f t="shared" si="47"/>
        <v>#DIV/0!</v>
      </c>
      <c r="J237" s="415" t="e">
        <f t="shared" si="47"/>
        <v>#DIV/0!</v>
      </c>
      <c r="K237" s="412"/>
    </row>
    <row r="238" spans="2:11" s="347" customFormat="1" ht="13.5" x14ac:dyDescent="0.4">
      <c r="B238" s="372"/>
      <c r="C238" s="381" t="s">
        <v>402</v>
      </c>
      <c r="E238" s="415" t="e">
        <f t="shared" si="47"/>
        <v>#DIV/0!</v>
      </c>
      <c r="F238" s="415" t="e">
        <f t="shared" si="47"/>
        <v>#DIV/0!</v>
      </c>
      <c r="G238" s="415" t="e">
        <f t="shared" si="47"/>
        <v>#DIV/0!</v>
      </c>
      <c r="H238" s="415" t="e">
        <f t="shared" si="47"/>
        <v>#DIV/0!</v>
      </c>
      <c r="I238" s="415" t="e">
        <f t="shared" si="47"/>
        <v>#DIV/0!</v>
      </c>
      <c r="J238" s="415" t="e">
        <f t="shared" si="47"/>
        <v>#DIV/0!</v>
      </c>
      <c r="K238" s="412"/>
    </row>
    <row r="239" spans="2:11" ht="13.5" x14ac:dyDescent="0.4">
      <c r="B239" s="371"/>
      <c r="C239" s="378" t="s">
        <v>377</v>
      </c>
      <c r="E239" s="419"/>
      <c r="F239" s="419"/>
      <c r="G239" s="419"/>
      <c r="H239" s="412"/>
      <c r="I239" s="412"/>
      <c r="J239" s="420"/>
      <c r="K239" s="412"/>
    </row>
    <row r="240" spans="2:11" ht="13.5" x14ac:dyDescent="0.4">
      <c r="B240" s="371"/>
      <c r="C240" s="414" t="s">
        <v>404</v>
      </c>
      <c r="E240" s="409"/>
      <c r="F240" s="409">
        <f t="shared" ref="F240:J245" si="48">-F200/F161</f>
        <v>3.8777233941179018E-2</v>
      </c>
      <c r="G240" s="409">
        <f t="shared" si="48"/>
        <v>3.8528193629874773E-2</v>
      </c>
      <c r="H240" s="409">
        <f t="shared" si="48"/>
        <v>3.8784753675702041E-2</v>
      </c>
      <c r="I240" s="409">
        <f t="shared" si="48"/>
        <v>3.6758421028445384E-2</v>
      </c>
      <c r="J240" s="409">
        <f t="shared" si="48"/>
        <v>3.2357891717677958E-2</v>
      </c>
      <c r="K240" s="409"/>
    </row>
    <row r="241" spans="2:11" ht="13.5" x14ac:dyDescent="0.4">
      <c r="B241" s="371"/>
      <c r="C241" s="388" t="s">
        <v>405</v>
      </c>
      <c r="E241" s="409"/>
      <c r="F241" s="409">
        <f t="shared" si="48"/>
        <v>4.1559610059838763E-2</v>
      </c>
      <c r="G241" s="409">
        <f t="shared" si="48"/>
        <v>3.9634085962072699E-2</v>
      </c>
      <c r="H241" s="409">
        <f t="shared" si="48"/>
        <v>4.165989469455595E-2</v>
      </c>
      <c r="I241" s="409">
        <f t="shared" si="48"/>
        <v>3.3009113198443886E-2</v>
      </c>
      <c r="J241" s="409">
        <f t="shared" si="48"/>
        <v>2.800992311346482E-2</v>
      </c>
      <c r="K241" s="409"/>
    </row>
    <row r="242" spans="2:11" ht="13.5" x14ac:dyDescent="0.4">
      <c r="B242" s="371"/>
      <c r="C242" s="377" t="s">
        <v>406</v>
      </c>
      <c r="E242" s="410"/>
      <c r="F242" s="410"/>
      <c r="G242" s="410"/>
      <c r="H242" s="411"/>
      <c r="I242" s="411"/>
      <c r="J242" s="411"/>
      <c r="K242" s="410"/>
    </row>
    <row r="243" spans="2:11" ht="13.5" x14ac:dyDescent="0.4">
      <c r="B243" s="371"/>
      <c r="C243" s="377" t="s">
        <v>301</v>
      </c>
      <c r="E243" s="412"/>
      <c r="F243" s="412"/>
      <c r="G243" s="412"/>
      <c r="H243" s="415"/>
      <c r="I243" s="415"/>
      <c r="J243" s="415"/>
      <c r="K243" s="412"/>
    </row>
    <row r="244" spans="2:11" ht="13.5" x14ac:dyDescent="0.4">
      <c r="B244" s="371"/>
      <c r="C244" s="377" t="s">
        <v>566</v>
      </c>
      <c r="E244" s="412"/>
      <c r="F244" s="412"/>
      <c r="G244" s="412"/>
      <c r="H244" s="420"/>
      <c r="I244" s="420"/>
      <c r="J244" s="420"/>
      <c r="K244" s="412"/>
    </row>
    <row r="245" spans="2:11" ht="13.5" x14ac:dyDescent="0.4">
      <c r="B245" s="371"/>
      <c r="C245" s="389" t="s">
        <v>569</v>
      </c>
      <c r="E245" s="421"/>
      <c r="F245" s="421"/>
      <c r="G245" s="421"/>
      <c r="H245" s="409" t="e">
        <f t="shared" ref="H245" si="49">-H205/H166</f>
        <v>#DIV/0!</v>
      </c>
      <c r="I245" s="409" t="e">
        <f t="shared" si="48"/>
        <v>#DIV/0!</v>
      </c>
      <c r="J245" s="422" t="e">
        <f>-J205/J166</f>
        <v>#DIV/0!</v>
      </c>
      <c r="K245" s="421"/>
    </row>
    <row r="246" spans="2:11" ht="13.9" thickBot="1" x14ac:dyDescent="0.45">
      <c r="B246" s="371"/>
      <c r="C246" s="383" t="s">
        <v>424</v>
      </c>
      <c r="E246" s="416"/>
      <c r="F246" s="416"/>
      <c r="G246" s="416"/>
      <c r="H246" s="416"/>
      <c r="I246" s="416"/>
      <c r="J246" s="416"/>
      <c r="K246" s="416"/>
    </row>
    <row r="247" spans="2:11" ht="13.5" thickBot="1" x14ac:dyDescent="0.45"/>
    <row r="248" spans="2:11" ht="13.5" x14ac:dyDescent="0.4">
      <c r="C248" s="353" t="s">
        <v>425</v>
      </c>
      <c r="E248" s="423">
        <f>[2]!s_stmnote_bank_144n($C$6,E6,1)/100</f>
        <v>2.5899999999999999E-2</v>
      </c>
      <c r="F248" s="423">
        <f>[2]!s_stmnote_bank_144n($C$6,F6,1)/100</f>
        <v>2.5899999999999999E-2</v>
      </c>
      <c r="G248" s="423">
        <f>[2]!s_stmnote_bank_144n($C$6,G6,1)/100</f>
        <v>2.52E-2</v>
      </c>
      <c r="H248" s="423">
        <f>[2]!s_stmnote_bank_144n($C$6,H6,1)/100</f>
        <v>2.3599999999999999E-2</v>
      </c>
      <c r="I248" s="423">
        <f>[2]!s_stmnote_bank_144n($C$6,I6,1)/100</f>
        <v>2.2200000000000001E-2</v>
      </c>
      <c r="J248" s="423">
        <f>[2]!s_stmnote_bank_144n($C$6,J6,1)/100</f>
        <v>1.8799999999999997E-2</v>
      </c>
      <c r="K248" s="423"/>
    </row>
    <row r="249" spans="2:11" ht="13.5" x14ac:dyDescent="0.4">
      <c r="C249" s="292" t="s">
        <v>426</v>
      </c>
      <c r="E249" s="424">
        <f t="shared" ref="E249:I249" si="50">E212-E231</f>
        <v>2.4899999999999995E-2</v>
      </c>
      <c r="F249" s="424">
        <f t="shared" si="50"/>
        <v>2.4299999999999999E-2</v>
      </c>
      <c r="G249" s="424">
        <f t="shared" si="50"/>
        <v>2.3299999999999998E-2</v>
      </c>
      <c r="H249" s="424">
        <f>H212-H231</f>
        <v>2.2234633335046484E-2</v>
      </c>
      <c r="I249" s="424">
        <f t="shared" si="50"/>
        <v>2.1202825043390255E-2</v>
      </c>
      <c r="J249" s="424">
        <f>J212-J231</f>
        <v>1.8723210557754225E-2</v>
      </c>
      <c r="K249" s="424"/>
    </row>
    <row r="250" spans="2:11" ht="13.5" x14ac:dyDescent="0.4">
      <c r="C250" s="329" t="s">
        <v>427</v>
      </c>
      <c r="E250" s="425"/>
      <c r="F250" s="425"/>
      <c r="G250" s="425"/>
      <c r="H250" s="425"/>
      <c r="I250" s="425"/>
      <c r="J250" s="425"/>
      <c r="K250" s="425"/>
    </row>
    <row r="251" spans="2:11" ht="13.9" thickBot="1" x14ac:dyDescent="0.45">
      <c r="C251" s="331" t="s">
        <v>428</v>
      </c>
      <c r="E251" s="426"/>
      <c r="F251" s="426"/>
      <c r="G251" s="426"/>
      <c r="H251" s="426"/>
      <c r="I251" s="426"/>
      <c r="J251" s="426"/>
      <c r="K251" s="426"/>
    </row>
    <row r="253" spans="2:11" ht="13.9" thickBot="1" x14ac:dyDescent="0.45">
      <c r="B253" s="427" t="s">
        <v>429</v>
      </c>
    </row>
    <row r="254" spans="2:11" ht="13.5" x14ac:dyDescent="0.4">
      <c r="C254" s="321" t="s">
        <v>430</v>
      </c>
      <c r="E254" s="428">
        <f>[2]!s_stmnote_bank_coretier1cap($C$6,E6,1,1000000)</f>
        <v>0</v>
      </c>
      <c r="F254" s="428">
        <f>[2]!s_stmnote_bank_coretier1cap($C$6,F6,1,1000000)</f>
        <v>0</v>
      </c>
      <c r="G254" s="428">
        <f>[2]!s_stmnote_bank_coretier1cap($C$6,G6,1,1000000)</f>
        <v>416961</v>
      </c>
      <c r="H254" s="428">
        <f>[2]!s_stmnote_bank_coretier1cap($C$6,H6,1,1000000)</f>
        <v>470456</v>
      </c>
      <c r="I254" s="428">
        <f>[2]!s_stmnote_bank_coretier1cap($C$6,I6,1,1000000)</f>
        <v>518487</v>
      </c>
      <c r="J254" s="428">
        <f>[2]!s_stmnote_bank_coretier1cap($C$6,J6,1,1000000)</f>
        <v>568131</v>
      </c>
      <c r="K254" s="428">
        <f>[2]!s_stmnote_bank_coretier1cap($C$6,K6,1,1000000)</f>
        <v>587078</v>
      </c>
    </row>
    <row r="255" spans="2:11" ht="13.5" x14ac:dyDescent="0.4">
      <c r="C255" s="347" t="s">
        <v>431</v>
      </c>
      <c r="E255" s="429">
        <f>[2]!s_stmnote_bank_tier1cap($C$6,E6,1,1000000)</f>
        <v>0</v>
      </c>
      <c r="F255" s="429">
        <f>[2]!s_stmnote_bank_tier1cap($C$6,F6,1,1000000)</f>
        <v>0</v>
      </c>
      <c r="G255" s="429">
        <f>[2]!s_stmnote_bank_tier1cap($C$6,G6,1,1000000)</f>
        <v>416965</v>
      </c>
      <c r="H255" s="429">
        <f>[2]!s_stmnote_bank_tier1cap($C$6,H6,1,1000000)</f>
        <v>470466</v>
      </c>
      <c r="I255" s="429">
        <f>[2]!s_stmnote_bank_tier1cap($C$6,I6,1,1000000)</f>
        <v>533430</v>
      </c>
      <c r="J255" s="429">
        <f>[2]!s_stmnote_bank_tier1cap($C$6,J6,1,1000000)</f>
        <v>628051</v>
      </c>
      <c r="K255" s="429">
        <f>[2]!s_stmnote_bank_tier1cap($C$6,K6,1,1000000)</f>
        <v>647014</v>
      </c>
    </row>
    <row r="256" spans="2:11" ht="13.5" x14ac:dyDescent="0.4">
      <c r="C256" s="286" t="s">
        <v>432</v>
      </c>
      <c r="E256" s="429">
        <f>[2]!s_stmnote_bank_netequitycap($C$6,E6,1,1000000)</f>
        <v>0</v>
      </c>
      <c r="F256" s="429">
        <f>[2]!s_stmnote_bank_netequitycap($C$6,F6,1,1000000)</f>
        <v>0</v>
      </c>
      <c r="G256" s="429">
        <f>[2]!s_stmnote_bank_netequitycap($C$6,G6,1,1000000)</f>
        <v>516482</v>
      </c>
      <c r="H256" s="429">
        <f>[2]!s_stmnote_bank_netequitycap($C$6,H6,1,1000000)</f>
        <v>584502</v>
      </c>
      <c r="I256" s="429">
        <f>[2]!s_stmnote_bank_netequitycap($C$6,I6,1,1000000)</f>
        <v>627862</v>
      </c>
      <c r="J256" s="429">
        <f>[2]!s_stmnote_bank_netequitycap($C$6,J6,1,1000000)</f>
        <v>723961</v>
      </c>
      <c r="K256" s="429">
        <f>[2]!s_stmnote_bank_netequitycap($C$6,K6,1,1000000)</f>
        <v>733585</v>
      </c>
    </row>
    <row r="257" spans="2:11" ht="13.5" x14ac:dyDescent="0.4">
      <c r="C257" s="327" t="s">
        <v>433</v>
      </c>
      <c r="E257" s="430">
        <f>[2]!s_stmnote_bank_rweightedassets($C$6,E6,1,1000000)</f>
        <v>0</v>
      </c>
      <c r="F257" s="430">
        <f>[2]!s_stmnote_bank_rweightedassets($C$6,F6,1,1000000)</f>
        <v>0</v>
      </c>
      <c r="G257" s="430">
        <f>[2]!s_stmnote_bank_rweightedassets($C$6,G6,1,1000000)</f>
        <v>4274068</v>
      </c>
      <c r="H257" s="430">
        <f>[2]!s_stmnote_bank_rweightedassets($C$6,H6,1,1000000)</f>
        <v>4164477</v>
      </c>
      <c r="I257" s="430">
        <f>[2]!s_stmnote_bank_rweightedassets($C$6,I6,1,1000000)</f>
        <v>4653723</v>
      </c>
      <c r="J257" s="430">
        <f>[2]!s_stmnote_bank_rweightedassets($C$6,J6,1,1000000)</f>
        <v>5163250</v>
      </c>
      <c r="K257" s="430">
        <f>[2]!s_stmnote_bank_rweightedassets($C$6,K6,1,1000000)</f>
        <v>5378290</v>
      </c>
    </row>
    <row r="258" spans="2:11" ht="13.5" x14ac:dyDescent="0.4">
      <c r="C258" s="315" t="s">
        <v>434</v>
      </c>
      <c r="E258" s="431">
        <f>[2]!s_stmnote_bank_capadequacyratio_ct1($C$6,E6,1)/100</f>
        <v>0</v>
      </c>
      <c r="F258" s="431">
        <f>[2]!s_stmnote_bank_capadequacyratio_ct1($C$6,F6,1)/100</f>
        <v>0</v>
      </c>
      <c r="G258" s="431">
        <f>[2]!s_stmnote_bank_capadequacyratio_ct1($C$6,G6,1)/100</f>
        <v>9.7599999999999992E-2</v>
      </c>
      <c r="H258" s="431">
        <f>[2]!s_stmnote_bank_capadequacyratio_ct1($C$6,H6,1)/100</f>
        <v>0.113</v>
      </c>
      <c r="I258" s="431">
        <f>[2]!s_stmnote_bank_capadequacyratio_ct1($C$6,I6,1)/100</f>
        <v>0.1114</v>
      </c>
      <c r="J258" s="431">
        <f>[2]!s_stmnote_bank_capadequacyratio_ct1($C$6,J6,1)/100</f>
        <v>0.11</v>
      </c>
      <c r="K258" s="431">
        <f>[2]!s_stmnote_bank_capadequacyratio_ct1($C$6,K6,1)/100</f>
        <v>0.10920000000000001</v>
      </c>
    </row>
    <row r="259" spans="2:11" ht="13.5" x14ac:dyDescent="0.4">
      <c r="C259" s="315" t="s">
        <v>435</v>
      </c>
      <c r="E259" s="432">
        <f>[2]!s_stmnote_bank_capadequacyratio_t1($C$6,E6,1)/100</f>
        <v>0</v>
      </c>
      <c r="F259" s="432">
        <f>[2]!s_stmnote_bank_capadequacyratio_t1($C$6,F6,1)/100</f>
        <v>0</v>
      </c>
      <c r="G259" s="432">
        <f>[2]!s_stmnote_bank_capadequacyratio_t1($C$6,G6,1)/100</f>
        <v>9.7599999999999992E-2</v>
      </c>
      <c r="H259" s="432">
        <f>[2]!s_stmnote_bank_capadequacyratio_t1($C$6,H6,1)/100</f>
        <v>0.113</v>
      </c>
      <c r="I259" s="432">
        <f>[2]!s_stmnote_bank_capadequacyratio_t1($C$6,I6,1)/100</f>
        <v>0.11460000000000001</v>
      </c>
      <c r="J259" s="432">
        <f>[2]!s_stmnote_bank_capadequacyratio_t1($C$6,J6,1)/100</f>
        <v>0.1216</v>
      </c>
      <c r="K259" s="432">
        <f>[2]!s_stmnote_bank_capadequacyratio_t1($C$6,K6,1)/100</f>
        <v>0.12029999999999999</v>
      </c>
    </row>
    <row r="260" spans="2:11" ht="13.9" thickBot="1" x14ac:dyDescent="0.45">
      <c r="C260" s="331" t="s">
        <v>436</v>
      </c>
      <c r="E260" s="433">
        <f>[2]!s_stmnote_bank_capadequacyratio($C$6,E6,1)/100</f>
        <v>0</v>
      </c>
      <c r="F260" s="433">
        <f>[2]!s_stmnote_bank_capadequacyratio($C$6,F6,1)/100</f>
        <v>0</v>
      </c>
      <c r="G260" s="433">
        <f>[2]!s_stmnote_bank_capadequacyratio($C$6,G6,1)/100</f>
        <v>0.1208</v>
      </c>
      <c r="H260" s="433">
        <f>[2]!s_stmnote_bank_capadequacyratio($C$6,H6,1)/100</f>
        <v>0.1404</v>
      </c>
      <c r="I260" s="433">
        <f>[2]!s_stmnote_bank_capadequacyratio($C$6,I6,1)/100</f>
        <v>0.13489999999999999</v>
      </c>
      <c r="J260" s="433">
        <f>[2]!s_stmnote_bank_capadequacyratio($C$6,J6,1)/100</f>
        <v>0.14019999999999999</v>
      </c>
      <c r="K260" s="433">
        <f>[2]!s_stmnote_bank_capadequacyratio($C$6,K6,1)/100</f>
        <v>0.13639999999999999</v>
      </c>
    </row>
    <row r="263" spans="2:11" ht="13.5" x14ac:dyDescent="0.4">
      <c r="B263" s="356" t="s">
        <v>437</v>
      </c>
      <c r="C263" s="434"/>
    </row>
    <row r="264" spans="2:11" ht="13.5" thickBot="1" x14ac:dyDescent="0.45">
      <c r="B264" s="381"/>
      <c r="C264" s="365"/>
      <c r="F264" s="435">
        <f>SUM(F265:F269)</f>
        <v>67671</v>
      </c>
      <c r="G264" s="435">
        <f t="shared" ref="G264:J264" si="51">SUM(G265:G269)</f>
        <v>73305</v>
      </c>
      <c r="H264" s="435">
        <f t="shared" si="51"/>
        <v>76948</v>
      </c>
      <c r="I264" s="435">
        <f t="shared" si="51"/>
        <v>87438</v>
      </c>
      <c r="J264" s="435">
        <f t="shared" si="51"/>
        <v>93913</v>
      </c>
    </row>
    <row r="265" spans="2:11" ht="13.5" x14ac:dyDescent="0.4">
      <c r="B265" s="366"/>
      <c r="C265" s="373" t="s">
        <v>438</v>
      </c>
      <c r="E265" s="436">
        <f>[2]!s_stmnote_bank_22n($C$6,#REF!,1,1000000)</f>
        <v>0</v>
      </c>
      <c r="F265" s="436">
        <f>[2]!s_stmnote_bank_22n($C$6,E6,1,1000000)</f>
        <v>56365</v>
      </c>
      <c r="G265" s="436">
        <f>[2]!s_stmnote_bank_22n($C$6,F6,1,1000000)</f>
        <v>67671</v>
      </c>
      <c r="H265" s="436">
        <f>[2]!s_stmnote_bank_22n($C$6,G6,1,1000000)</f>
        <v>73305</v>
      </c>
      <c r="I265" s="436">
        <f>[2]!s_stmnote_bank_22n($C$6,H6,1,1000000)</f>
        <v>76948</v>
      </c>
      <c r="J265" s="436">
        <f>[2]!s_stmnote_bank_22n($C$6,I6,1,1000000)</f>
        <v>87438</v>
      </c>
      <c r="K265" s="437"/>
    </row>
    <row r="266" spans="2:11" ht="13.5" x14ac:dyDescent="0.4">
      <c r="B266" s="366"/>
      <c r="C266" s="377" t="s">
        <v>439</v>
      </c>
      <c r="E266" s="438"/>
      <c r="F266" s="438">
        <v>18428</v>
      </c>
      <c r="G266" s="438">
        <v>20028</v>
      </c>
      <c r="H266" s="438">
        <v>21955</v>
      </c>
      <c r="I266" s="438">
        <v>28993</v>
      </c>
      <c r="J266" s="438">
        <v>30269</v>
      </c>
      <c r="K266" s="439"/>
    </row>
    <row r="267" spans="2:11" ht="13.5" x14ac:dyDescent="0.4">
      <c r="B267" s="381"/>
      <c r="C267" s="377" t="s">
        <v>440</v>
      </c>
      <c r="E267" s="429"/>
      <c r="F267" s="429">
        <v>-2650</v>
      </c>
      <c r="G267" s="429">
        <v>-11810</v>
      </c>
      <c r="H267" s="429">
        <v>-15811</v>
      </c>
      <c r="I267" s="429">
        <v>-15268</v>
      </c>
      <c r="J267" s="429">
        <v>-21225</v>
      </c>
      <c r="K267" s="440"/>
    </row>
    <row r="268" spans="2:11" ht="13.5" x14ac:dyDescent="0.4">
      <c r="B268" s="381"/>
      <c r="C268" s="377" t="s">
        <v>441</v>
      </c>
      <c r="E268" s="429"/>
      <c r="F268" s="429">
        <v>-577</v>
      </c>
      <c r="G268" s="429">
        <v>-778</v>
      </c>
      <c r="H268" s="429">
        <v>-1061</v>
      </c>
      <c r="I268" s="429">
        <v>-1471</v>
      </c>
      <c r="J268" s="429">
        <v>-1031</v>
      </c>
      <c r="K268" s="440"/>
    </row>
    <row r="269" spans="2:11" ht="13.5" x14ac:dyDescent="0.4">
      <c r="B269" s="366"/>
      <c r="C269" s="377" t="s">
        <v>377</v>
      </c>
      <c r="E269" s="441"/>
      <c r="F269" s="441">
        <v>-3894.9999999999995</v>
      </c>
      <c r="G269" s="441">
        <v>-1805.9999999999998</v>
      </c>
      <c r="H269" s="441">
        <v>-1440</v>
      </c>
      <c r="I269" s="441">
        <v>-1763.9999999999998</v>
      </c>
      <c r="J269" s="441">
        <v>-1538</v>
      </c>
      <c r="K269" s="442"/>
    </row>
    <row r="270" spans="2:11" ht="13.5" x14ac:dyDescent="0.4">
      <c r="B270" s="366"/>
      <c r="C270" s="418" t="s">
        <v>442</v>
      </c>
      <c r="E270" s="443">
        <f>[2]!s_stmnote_bank_22n($C$6,E6,1,1000000)</f>
        <v>56365</v>
      </c>
      <c r="F270" s="443">
        <f>[2]!s_stmnote_bank_22n($C$6,F6,1,1000000)</f>
        <v>67671</v>
      </c>
      <c r="G270" s="443">
        <f>[2]!s_stmnote_bank_22n($C$6,G6,1,1000000)</f>
        <v>73305</v>
      </c>
      <c r="H270" s="443">
        <f>[2]!s_stmnote_bank_22n($C$6,H6,1,1000000)</f>
        <v>76948</v>
      </c>
      <c r="I270" s="443">
        <f>[2]!s_stmnote_bank_22n($C$6,I6,1,1000000)</f>
        <v>87438</v>
      </c>
      <c r="J270" s="443">
        <f>[2]!s_stmnote_bank_22n($C$6,J6,1,1000000)</f>
        <v>93913</v>
      </c>
      <c r="K270" s="444"/>
    </row>
    <row r="271" spans="2:11" ht="13.9" thickBot="1" x14ac:dyDescent="0.45">
      <c r="B271" s="366"/>
      <c r="C271" s="445" t="s">
        <v>443</v>
      </c>
      <c r="E271" s="447">
        <f>[2]!s_stm07_cs($C$6,"W47177514",E6,1,1000000)</f>
        <v>12692</v>
      </c>
      <c r="F271" s="447">
        <f>[2]!s_stm07_cs($C$6,"W47177514",F6,1,1000000)</f>
        <v>15187</v>
      </c>
      <c r="G271" s="447">
        <f>[2]!s_stm07_cs($C$6,"W47177514",G6,1,1000000)</f>
        <v>19158</v>
      </c>
      <c r="H271" s="447">
        <f>[2]!s_stm07_cs($C$6,"W47177514",H6,1,1000000)</f>
        <v>22866</v>
      </c>
      <c r="I271" s="447">
        <f>[2]!s_stm07_cs($C$6,"W47177514",I6,1,1000000)</f>
        <v>28914</v>
      </c>
      <c r="J271" s="447">
        <f>[2]!s_stm07_cs($C$6,"W47177514",J6,1,1000000)</f>
        <v>30212</v>
      </c>
      <c r="K271" s="447"/>
    </row>
    <row r="273" spans="2:11" x14ac:dyDescent="0.4">
      <c r="K273" s="316"/>
    </row>
    <row r="274" spans="2:11" ht="13.5" x14ac:dyDescent="0.4">
      <c r="B274" s="356" t="s">
        <v>444</v>
      </c>
      <c r="C274" s="434"/>
    </row>
    <row r="275" spans="2:11" ht="13.5" thickBot="1" x14ac:dyDescent="0.45">
      <c r="B275" s="366"/>
      <c r="C275" s="365"/>
      <c r="J275" s="435"/>
    </row>
    <row r="276" spans="2:11" ht="13.5" x14ac:dyDescent="0.4">
      <c r="B276" s="381"/>
      <c r="C276" s="377" t="s">
        <v>445</v>
      </c>
      <c r="E276" s="428">
        <f>[2]!s_stmnote_bank($C$6,"31",E6,1000000)</f>
        <v>2481585</v>
      </c>
      <c r="F276" s="428">
        <f>[2]!s_stmnote_bank($C$6,"31",F6,1000000)</f>
        <v>2851980</v>
      </c>
      <c r="G276" s="428">
        <f>[2]!s_stmnote_bank($C$6,"31",G6,1000000)</f>
        <v>3173011</v>
      </c>
      <c r="H276" s="428">
        <f>[2]!s_stmnote_bank($C$6,"31",H6,1000000)</f>
        <v>3296815</v>
      </c>
      <c r="I276" s="428">
        <f>[2]!s_stmnote_bank($C$6,"31",I6,1000000)</f>
        <v>3547697</v>
      </c>
      <c r="J276" s="428">
        <f>[2]!s_stmnote_bank($C$6,"31",J6,1000000)</f>
        <v>3916818</v>
      </c>
      <c r="K276" s="428">
        <f>[2]!s_stmnote_bank($C$6,"31",K6,1000000)</f>
        <v>0</v>
      </c>
    </row>
    <row r="277" spans="2:11" ht="13.5" x14ac:dyDescent="0.4">
      <c r="B277" s="381"/>
      <c r="C277" s="377" t="s">
        <v>446</v>
      </c>
      <c r="E277" s="429">
        <f>[2]!s_stmnote_bank($C$6,"34",E6,1000000)</f>
        <v>58179</v>
      </c>
      <c r="F277" s="429">
        <f>[2]!s_stmnote_bank($C$6,"34",F6,1000000)</f>
        <v>68324</v>
      </c>
      <c r="G277" s="429">
        <f>[2]!s_stmnote_bank($C$6,"34",G6,1000000)</f>
        <v>59047</v>
      </c>
      <c r="H277" s="429">
        <f>[2]!s_stmnote_bank($C$6,"34",H6,1000000)</f>
        <v>91903</v>
      </c>
      <c r="I277" s="429">
        <f>[2]!s_stmnote_bank($C$6,"34",I6,1000000)</f>
        <v>118103</v>
      </c>
      <c r="J277" s="429">
        <f>[2]!s_stmnote_bank($C$6,"34",J6,1000000)</f>
        <v>123741</v>
      </c>
      <c r="K277" s="429">
        <f>[2]!s_stmnote_bank($C$6,"34",K6,1000000)</f>
        <v>0</v>
      </c>
    </row>
    <row r="278" spans="2:11" ht="13.5" x14ac:dyDescent="0.4">
      <c r="B278" s="381"/>
      <c r="C278" s="377" t="s">
        <v>447</v>
      </c>
      <c r="E278" s="429">
        <f>[2]!s_stmnote_bank($C$6,"37",E6,1000000)</f>
        <v>9042</v>
      </c>
      <c r="F278" s="429">
        <f>[2]!s_stmnote_bank($C$6,"37",F6,1000000)</f>
        <v>13269</v>
      </c>
      <c r="G278" s="429">
        <f>[2]!s_stmnote_bank($C$6,"37",G6,1000000)</f>
        <v>13778</v>
      </c>
      <c r="H278" s="429">
        <f>[2]!s_stmnote_bank($C$6,"37",H6,1000000)</f>
        <v>16103</v>
      </c>
      <c r="I278" s="429">
        <f>[2]!s_stmnote_bank($C$6,"37",I6,1000000)</f>
        <v>22953</v>
      </c>
      <c r="J278" s="429">
        <f>[2]!s_stmnote_bank($C$6,"37",J6,1000000)</f>
        <v>17513</v>
      </c>
      <c r="K278" s="429">
        <f>[2]!s_stmnote_bank($C$6,"37",K6,1000000)</f>
        <v>0</v>
      </c>
    </row>
    <row r="279" spans="2:11" ht="13.5" x14ac:dyDescent="0.4">
      <c r="B279" s="381"/>
      <c r="C279" s="377" t="s">
        <v>448</v>
      </c>
      <c r="E279" s="429">
        <f>[2]!s_stmnote_bank($C$6,"40",E6,1000000)</f>
        <v>8450</v>
      </c>
      <c r="F279" s="429">
        <f>[2]!s_stmnote_bank($C$6,"40",F6,1000000)</f>
        <v>9793</v>
      </c>
      <c r="G279" s="429">
        <f>[2]!s_stmnote_bank($C$6,"40",G6,1000000)</f>
        <v>13586</v>
      </c>
      <c r="H279" s="429">
        <f>[2]!s_stmnote_bank($C$6,"40",H6,1000000)</f>
        <v>18680</v>
      </c>
      <c r="I279" s="429">
        <f>[2]!s_stmnote_bank($C$6,"40",I6,1000000)</f>
        <v>22521</v>
      </c>
      <c r="J279" s="429">
        <f>[2]!s_stmnote_bank($C$6,"40",J6,1000000)</f>
        <v>26950</v>
      </c>
      <c r="K279" s="429">
        <f>[2]!s_stmnote_bank($C$6,"40",K6,1000000)</f>
        <v>0</v>
      </c>
    </row>
    <row r="280" spans="2:11" ht="13.5" x14ac:dyDescent="0.4">
      <c r="B280" s="381"/>
      <c r="C280" s="377" t="s">
        <v>449</v>
      </c>
      <c r="E280" s="448">
        <f>[2]!s_stmnote_bank($C$6,"43",E6,1000000)</f>
        <v>4494</v>
      </c>
      <c r="F280" s="448">
        <f>[2]!s_stmnote_bank($C$6,"43",F6,1000000)</f>
        <v>3933</v>
      </c>
      <c r="G280" s="448">
        <f>[2]!s_stmnote_bank($C$6,"43",G6,1000000)</f>
        <v>6946</v>
      </c>
      <c r="H280" s="448">
        <f>[2]!s_stmnote_bank($C$6,"43",H6,1000000)</f>
        <v>8234</v>
      </c>
      <c r="I280" s="448">
        <f>[2]!s_stmnote_bank($C$6,"43",I6,1000000)</f>
        <v>10732</v>
      </c>
      <c r="J280" s="448">
        <f>[2]!s_stmnote_bank($C$6,"43",J6,1000000)</f>
        <v>17937</v>
      </c>
      <c r="K280" s="448">
        <f>[2]!s_stmnote_bank($C$6,"43",K6,1000000)</f>
        <v>0</v>
      </c>
    </row>
    <row r="281" spans="2:11" ht="13.5" x14ac:dyDescent="0.4">
      <c r="B281" s="366"/>
      <c r="C281" s="418" t="s">
        <v>450</v>
      </c>
      <c r="E281" s="449">
        <f>[2]!s_stmnote_bank_26($C$6,E6,1,1000000)</f>
        <v>21986</v>
      </c>
      <c r="F281" s="449">
        <f>[2]!s_stmnote_bank_26($C$6,F6,1,1000000)</f>
        <v>26995</v>
      </c>
      <c r="G281" s="449">
        <f>[2]!s_stmnote_bank_26($C$6,G6,1,1000000)</f>
        <v>34310</v>
      </c>
      <c r="H281" s="449">
        <f>[2]!s_stmnote_bank_26($C$6,H6,1,1000000)</f>
        <v>43017</v>
      </c>
      <c r="I281" s="449">
        <f>[2]!s_stmnote_bank_26($C$6,I6,1,1000000)</f>
        <v>56206</v>
      </c>
      <c r="J281" s="449">
        <f>[2]!s_stmnote_bank_26($C$6,J6,1,1000000)</f>
        <v>62400</v>
      </c>
      <c r="K281" s="449">
        <f>[2]!s_stmnote_bank_26($C$6,K6,1,1000000)</f>
        <v>0</v>
      </c>
    </row>
    <row r="282" spans="2:11" ht="13.5" x14ac:dyDescent="0.4">
      <c r="B282" s="366"/>
      <c r="C282" s="366" t="s">
        <v>370</v>
      </c>
      <c r="E282" s="450">
        <f t="shared" ref="E282:K282" si="52">E112</f>
        <v>2561750</v>
      </c>
      <c r="F282" s="450">
        <f t="shared" si="52"/>
        <v>2947299</v>
      </c>
      <c r="G282" s="450">
        <f t="shared" si="52"/>
        <v>3266368</v>
      </c>
      <c r="H282" s="450">
        <f t="shared" si="52"/>
        <v>3431735</v>
      </c>
      <c r="I282" s="450">
        <f t="shared" si="52"/>
        <v>3722006</v>
      </c>
      <c r="J282" s="450">
        <f t="shared" si="52"/>
        <v>4102959</v>
      </c>
      <c r="K282" s="450">
        <f t="shared" si="52"/>
        <v>4343741</v>
      </c>
    </row>
    <row r="283" spans="2:11" ht="13.9" thickBot="1" x14ac:dyDescent="0.45">
      <c r="B283" s="366"/>
      <c r="C283" s="383" t="s">
        <v>451</v>
      </c>
      <c r="E283" s="433">
        <f>[2]!s_stmnote_bank_5n($C$6,E6,1)/100</f>
        <v>8.6E-3</v>
      </c>
      <c r="F283" s="433">
        <f>[2]!s_stmnote_bank_5n($C$6,F6,1)/100</f>
        <v>9.1999999999999998E-3</v>
      </c>
      <c r="G283" s="433">
        <f>[2]!s_stmnote_bank_5n($C$6,G6,1)/100</f>
        <v>1.0500000000000001E-2</v>
      </c>
      <c r="H283" s="433">
        <f>[2]!s_stmnote_bank_5n($C$6,H6,1)/100</f>
        <v>1.2500000000000001E-2</v>
      </c>
      <c r="I283" s="433">
        <f>[2]!s_stmnote_bank_5n($C$6,I6,1)/100</f>
        <v>1.5100000000000001E-2</v>
      </c>
      <c r="J283" s="433">
        <f>[2]!s_stmnote_bank_5n($C$6,J6,1)/100</f>
        <v>1.52E-2</v>
      </c>
      <c r="K283" s="433">
        <f>[2]!s_stmnote_bank_5n($C$6,K6,1)/100</f>
        <v>1.52E-2</v>
      </c>
    </row>
    <row r="284" spans="2:11" s="334" customFormat="1" ht="13.5" x14ac:dyDescent="0.4">
      <c r="B284" s="451"/>
      <c r="C284" s="333" t="s">
        <v>328</v>
      </c>
      <c r="E284" s="452">
        <f t="shared" ref="E284:I284" si="53">IF(E278=0,0,E282-SUM(E276:E280))</f>
        <v>0</v>
      </c>
      <c r="F284" s="452">
        <f t="shared" si="53"/>
        <v>0</v>
      </c>
      <c r="G284" s="452">
        <f>IF(G278=0,0,G282-SUM(G276:G280))</f>
        <v>0</v>
      </c>
      <c r="H284" s="452">
        <f t="shared" si="53"/>
        <v>0</v>
      </c>
      <c r="I284" s="452">
        <f t="shared" si="53"/>
        <v>0</v>
      </c>
      <c r="J284" s="452">
        <f>IF(J278=0,0,J282-SUM(J276:J280))</f>
        <v>0</v>
      </c>
      <c r="K284" s="452">
        <f>IF(K278=0,0,K282-SUM(K276:K280))</f>
        <v>0</v>
      </c>
    </row>
    <row r="285" spans="2:11" x14ac:dyDescent="0.4">
      <c r="B285" s="381"/>
      <c r="C285" s="453"/>
      <c r="I285" s="316"/>
      <c r="J285" s="316"/>
      <c r="K285" s="316"/>
    </row>
    <row r="286" spans="2:11" ht="13.5" x14ac:dyDescent="0.4">
      <c r="B286" s="356" t="s">
        <v>452</v>
      </c>
      <c r="C286" s="453"/>
      <c r="G286" s="454"/>
      <c r="H286" s="454"/>
      <c r="I286" s="289"/>
      <c r="J286" s="289"/>
      <c r="K286" s="289"/>
    </row>
    <row r="287" spans="2:11" ht="13.5" thickBot="1" x14ac:dyDescent="0.45">
      <c r="B287" s="455"/>
      <c r="C287" s="365"/>
      <c r="G287" s="456"/>
      <c r="H287" s="456"/>
      <c r="I287" s="316"/>
      <c r="J287" s="316"/>
    </row>
    <row r="288" spans="2:11" ht="13.5" x14ac:dyDescent="0.4">
      <c r="B288" s="381"/>
      <c r="C288" s="457" t="s">
        <v>453</v>
      </c>
      <c r="E288" s="458">
        <f>[2]!s_stmnote_bank_0001($C$6,E6,1,1000000)</f>
        <v>6779</v>
      </c>
      <c r="F288" s="458">
        <f>[2]!s_stmnote_bank_0001($C$6,F6,1,1000000)</f>
        <v>15771</v>
      </c>
      <c r="G288" s="458">
        <f>[2]!s_stmnote_bank_0001($C$6,G6,1,1000000)</f>
        <v>14313</v>
      </c>
      <c r="H288" s="458">
        <f>[2]!s_stmnote_bank_0001($C$6,H6,1,1000000)</f>
        <v>36633</v>
      </c>
      <c r="I288" s="458">
        <f>[2]!s_stmnote_bank_0001($C$6,I6,1,1000000)</f>
        <v>21910</v>
      </c>
      <c r="J288" s="458">
        <f>[2]!s_stmnote_bank_0001($C$6,J6,1,1000000)</f>
        <v>21401</v>
      </c>
      <c r="K288" s="428">
        <f>[2]!s_stmnote_bank_0001($C$6,K6,1,1000000)</f>
        <v>0</v>
      </c>
    </row>
    <row r="289" spans="2:11" ht="13.5" x14ac:dyDescent="0.4">
      <c r="B289" s="381"/>
      <c r="C289" s="457" t="s">
        <v>454</v>
      </c>
      <c r="E289" s="429">
        <f>[2]!s_stmnote_bank_0002($C$6,E6,1,1000000)</f>
        <v>3455</v>
      </c>
      <c r="F289" s="429">
        <f>[2]!s_stmnote_bank_0002($C$6,F6,1,1000000)</f>
        <v>9596</v>
      </c>
      <c r="G289" s="429">
        <f>[2]!s_stmnote_bank_0002($C$6,G6,1,1000000)</f>
        <v>17172</v>
      </c>
      <c r="H289" s="429">
        <f>[2]!s_stmnote_bank_0002($C$6,H6,1,1000000)</f>
        <v>28646</v>
      </c>
      <c r="I289" s="429">
        <f>[2]!s_stmnote_bank_0002($C$6,I6,1,1000000)</f>
        <v>49321</v>
      </c>
      <c r="J289" s="429">
        <f>[2]!s_stmnote_bank_0002($C$6,J6,1,1000000)</f>
        <v>35019</v>
      </c>
      <c r="K289" s="429">
        <f>[2]!s_stmnote_bank_0002($C$6,K6,1,1000000)</f>
        <v>0</v>
      </c>
    </row>
    <row r="290" spans="2:11" ht="13.5" x14ac:dyDescent="0.4">
      <c r="B290" s="381"/>
      <c r="C290" s="457" t="s">
        <v>455</v>
      </c>
      <c r="E290" s="459">
        <f>[2]!s_stmnote_bank_0003($C$6,E6,1,1000000)</f>
        <v>5309</v>
      </c>
      <c r="F290" s="459">
        <f>[2]!s_stmnote_bank_0003($C$6,F6,1,1000000)</f>
        <v>5369</v>
      </c>
      <c r="G290" s="459">
        <f>[2]!s_stmnote_bank_0003($C$6,G6,1,1000000)</f>
        <v>11802</v>
      </c>
      <c r="H290" s="459">
        <f>[2]!s_stmnote_bank_0003($C$6,H6,1,1000000)</f>
        <v>13558</v>
      </c>
      <c r="I290" s="459">
        <f>[2]!s_stmnote_bank_0003($C$6,I6,1,1000000)</f>
        <v>38454</v>
      </c>
      <c r="J290" s="459">
        <f>[2]!s_stmnote_bank_0003($C$6,J6,1,1000000)</f>
        <v>44772</v>
      </c>
      <c r="K290" s="429">
        <f>[2]!s_stmnote_bank_0003($C$6,K7,1,1000000)</f>
        <v>0</v>
      </c>
    </row>
    <row r="291" spans="2:11" ht="13.5" x14ac:dyDescent="0.4">
      <c r="B291" s="381"/>
      <c r="C291" s="457" t="s">
        <v>456</v>
      </c>
      <c r="E291" s="429">
        <f>[2]!s_stmnote_bank_0004($C$6,E6,1,1000000)</f>
        <v>6464</v>
      </c>
      <c r="F291" s="429">
        <f>[2]!s_stmnote_bank_0004($C$6,F6,1,1000000)</f>
        <v>5487</v>
      </c>
      <c r="G291" s="429">
        <f>[2]!s_stmnote_bank_0004($C$6,G6,1,1000000)</f>
        <v>2840</v>
      </c>
      <c r="H291" s="429">
        <f>[2]!s_stmnote_bank_0004($C$6,H6,1,1000000)</f>
        <v>2410</v>
      </c>
      <c r="I291" s="429">
        <f>[2]!s_stmnote_bank_0004($C$6,I6,1,1000000)</f>
        <v>3648</v>
      </c>
      <c r="J291" s="429">
        <f>[2]!s_stmnote_bank_0004($C$6,J6,1,1000000)</f>
        <v>6991</v>
      </c>
      <c r="K291" s="429">
        <f>[2]!s_stmnote_bank_0004($C$6,K6,1,1000000)</f>
        <v>0</v>
      </c>
    </row>
    <row r="292" spans="2:11" ht="13.5" thickBot="1" x14ac:dyDescent="0.45">
      <c r="B292" s="366"/>
      <c r="C292" s="460" t="s">
        <v>457</v>
      </c>
      <c r="E292" s="461">
        <f t="shared" ref="E292:K292" si="54">SUM(E288:E291)</f>
        <v>22007</v>
      </c>
      <c r="F292" s="461">
        <f t="shared" si="54"/>
        <v>36223</v>
      </c>
      <c r="G292" s="461">
        <f t="shared" si="54"/>
        <v>46127</v>
      </c>
      <c r="H292" s="461">
        <f>SUM(H288:H291)</f>
        <v>81247</v>
      </c>
      <c r="I292" s="461">
        <f t="shared" si="54"/>
        <v>113333</v>
      </c>
      <c r="J292" s="461">
        <f>SUM(J288:J291)</f>
        <v>108183</v>
      </c>
      <c r="K292" s="461">
        <f t="shared" si="54"/>
        <v>0</v>
      </c>
    </row>
    <row r="293" spans="2:11" x14ac:dyDescent="0.4">
      <c r="B293" s="381"/>
      <c r="C293" s="453"/>
      <c r="I293" s="656"/>
      <c r="J293" s="656"/>
    </row>
    <row r="294" spans="2:11" ht="13.9" thickBot="1" x14ac:dyDescent="0.45">
      <c r="B294" s="366" t="s">
        <v>458</v>
      </c>
    </row>
    <row r="295" spans="2:11" x14ac:dyDescent="0.4">
      <c r="B295" s="381"/>
      <c r="C295" s="462" t="s">
        <v>459</v>
      </c>
      <c r="E295" s="463"/>
      <c r="F295" s="428">
        <f>[2]!s_div_aualaccmdiv($C$6,2012,1000000)</f>
        <v>17823.054394799998</v>
      </c>
      <c r="G295" s="428">
        <f>[2]!s_div_aualaccmdiv($C$6,2013,1000000)</f>
        <v>19308.3089277</v>
      </c>
      <c r="H295" s="428">
        <f>[2]!s_div_aualaccmdiv($C$6,2014,1000000)</f>
        <v>20050.936194150003</v>
      </c>
      <c r="I295" s="428">
        <f>[2]!s_div_aualaccmdiv($C$6,2015,1000000)</f>
        <v>20050.936194150003</v>
      </c>
      <c r="J295" s="428">
        <f>[2]!s_div_aualaccmdiv($C$6,2016,1000000)</f>
        <v>20162.330284117495</v>
      </c>
      <c r="K295" s="463"/>
    </row>
    <row r="296" spans="2:11" ht="13.9" thickBot="1" x14ac:dyDescent="0.45">
      <c r="C296" s="355" t="s">
        <v>460</v>
      </c>
      <c r="E296" s="464"/>
      <c r="F296" s="465">
        <f>[2]!s_div_cashbeforetax($C$6,F6)</f>
        <v>0.24</v>
      </c>
      <c r="G296" s="465">
        <f>[2]!s_div_cashbeforetax($C$6,G6)</f>
        <v>0.26</v>
      </c>
      <c r="H296" s="465">
        <f>[2]!s_div_cashbeforetax($C$6,H6)</f>
        <v>0.27</v>
      </c>
      <c r="I296" s="465">
        <f>[2]!s_div_cashbeforetax($C$6,I6)</f>
        <v>0.27</v>
      </c>
      <c r="J296" s="465">
        <f>[2]!s_div_cashbeforetax($C$6,J6)</f>
        <v>0.27149999999999996</v>
      </c>
      <c r="K296" s="464"/>
    </row>
    <row r="299" spans="2:11" ht="13.9" thickBot="1" x14ac:dyDescent="0.45">
      <c r="B299" s="356" t="s">
        <v>570</v>
      </c>
    </row>
    <row r="300" spans="2:11" x14ac:dyDescent="0.4">
      <c r="B300" s="381"/>
      <c r="C300" s="462" t="s">
        <v>462</v>
      </c>
      <c r="E300" s="466">
        <f>[2]!s_stmnote_bank_6n($C$6,E6,1)/100</f>
        <v>0.71939999999999993</v>
      </c>
      <c r="F300" s="466">
        <f>[2]!s_stmnote_bank_6n($C$6,F6,1)/100</f>
        <v>0.72709999999999997</v>
      </c>
      <c r="G300" s="466">
        <f>[2]!s_stmnote_bank_6n($C$6,G6,1)/100</f>
        <v>0.7340000000000001</v>
      </c>
      <c r="H300" s="466">
        <f>[2]!s_stmnote_bank_6n($C$6,H6,1)/100</f>
        <v>0.74069999999999991</v>
      </c>
      <c r="I300" s="466">
        <f>[2]!s_stmnote_bank_6n($C$6,I6,1)/100</f>
        <v>0.74080000000000001</v>
      </c>
      <c r="J300" s="466">
        <f>[2]!s_stmnote_bank_6n($C$6,J6,1)/100</f>
        <v>0.73980000000000001</v>
      </c>
      <c r="K300" s="466">
        <f>[2]!s_stmnote_bank_6n($C$6,K6,1)/100</f>
        <v>0.879714</v>
      </c>
    </row>
    <row r="305" spans="2:12" s="532" customFormat="1" ht="13.5" thickBot="1" x14ac:dyDescent="0.45"/>
    <row r="306" spans="2:12" ht="13.9" thickTop="1" x14ac:dyDescent="0.4">
      <c r="B306" s="286" t="s">
        <v>463</v>
      </c>
      <c r="C306" s="467"/>
      <c r="D306" s="467"/>
      <c r="E306" s="467"/>
      <c r="F306" s="467"/>
      <c r="G306" s="467"/>
      <c r="H306" s="467"/>
      <c r="I306" s="468"/>
      <c r="J306" s="467"/>
      <c r="K306" s="467"/>
    </row>
    <row r="308" spans="2:12" x14ac:dyDescent="0.4">
      <c r="C308" s="572" t="s">
        <v>546</v>
      </c>
      <c r="E308" s="600">
        <v>40908</v>
      </c>
      <c r="F308" s="600">
        <v>41274</v>
      </c>
      <c r="G308" s="600">
        <v>41639</v>
      </c>
      <c r="H308" s="600">
        <v>42004</v>
      </c>
      <c r="I308" s="600">
        <v>42369</v>
      </c>
      <c r="J308" s="600">
        <v>42551</v>
      </c>
      <c r="K308" s="600">
        <v>42735</v>
      </c>
      <c r="L308" s="600">
        <v>42916</v>
      </c>
    </row>
    <row r="309" spans="2:12" x14ac:dyDescent="0.4">
      <c r="C309" s="572" t="s">
        <v>547</v>
      </c>
      <c r="E309" s="601"/>
      <c r="F309" s="601">
        <v>563.65</v>
      </c>
      <c r="G309" s="601">
        <v>676.71</v>
      </c>
      <c r="H309" s="601">
        <v>733.05</v>
      </c>
      <c r="I309" s="601">
        <v>769.48</v>
      </c>
      <c r="J309" s="601">
        <v>874.38</v>
      </c>
      <c r="K309" s="601">
        <v>874.38</v>
      </c>
      <c r="L309" s="556">
        <v>939.13</v>
      </c>
    </row>
    <row r="310" spans="2:12" x14ac:dyDescent="0.4">
      <c r="C310" s="572" t="s">
        <v>548</v>
      </c>
      <c r="E310" s="601"/>
      <c r="F310" s="601">
        <v>184.28</v>
      </c>
      <c r="G310" s="601">
        <v>200.28</v>
      </c>
      <c r="H310" s="601">
        <v>219.55</v>
      </c>
      <c r="I310" s="601">
        <v>289.93</v>
      </c>
      <c r="J310" s="601">
        <v>158.88999999999999</v>
      </c>
      <c r="K310" s="601">
        <v>302.69</v>
      </c>
      <c r="L310" s="556">
        <v>156.24</v>
      </c>
    </row>
    <row r="311" spans="2:12" x14ac:dyDescent="0.4">
      <c r="C311" s="572" t="s">
        <v>571</v>
      </c>
      <c r="E311" s="601"/>
      <c r="F311" s="601">
        <v>-38.909999999999997</v>
      </c>
      <c r="G311" s="601">
        <v>-16.18</v>
      </c>
      <c r="H311" s="601">
        <v>-15.16</v>
      </c>
      <c r="I311" s="601">
        <v>-18.329999999999998</v>
      </c>
      <c r="J311" s="601">
        <v>-10.82</v>
      </c>
      <c r="K311" s="601">
        <v>-17.89</v>
      </c>
      <c r="L311" s="556">
        <v>-9.7799999999999994</v>
      </c>
    </row>
    <row r="312" spans="2:12" x14ac:dyDescent="0.4">
      <c r="C312" s="572" t="s">
        <v>572</v>
      </c>
      <c r="E312" s="601"/>
      <c r="F312" s="601">
        <v>-26.5</v>
      </c>
      <c r="G312" s="601">
        <v>-118.1</v>
      </c>
      <c r="H312" s="601">
        <v>-158.11000000000001</v>
      </c>
      <c r="I312" s="601">
        <v>-152.68</v>
      </c>
      <c r="J312" s="601">
        <v>-94.38</v>
      </c>
      <c r="K312" s="601">
        <v>-212.25</v>
      </c>
      <c r="L312" s="556">
        <v>-82.37</v>
      </c>
    </row>
    <row r="313" spans="2:12" x14ac:dyDescent="0.4">
      <c r="C313" s="572" t="s">
        <v>549</v>
      </c>
      <c r="E313" s="601"/>
      <c r="F313" s="601">
        <v>-5.77</v>
      </c>
      <c r="G313" s="601">
        <v>-7.78</v>
      </c>
      <c r="H313" s="601">
        <v>-10.61</v>
      </c>
      <c r="I313" s="601">
        <v>-14.71</v>
      </c>
      <c r="J313" s="601">
        <v>-6.48</v>
      </c>
      <c r="K313" s="601">
        <v>-10.31</v>
      </c>
      <c r="L313" s="556">
        <v>-5.8</v>
      </c>
    </row>
    <row r="314" spans="2:12" x14ac:dyDescent="0.4">
      <c r="C314" s="572" t="s">
        <v>573</v>
      </c>
      <c r="E314" s="601"/>
      <c r="F314" s="601">
        <v>3.23</v>
      </c>
      <c r="G314" s="601">
        <v>4.67</v>
      </c>
      <c r="H314" s="601">
        <v>4.41</v>
      </c>
      <c r="I314" s="601">
        <v>5</v>
      </c>
      <c r="J314" s="601">
        <v>3.07</v>
      </c>
      <c r="K314" s="601">
        <v>8.08</v>
      </c>
      <c r="L314" s="556">
        <v>3.25</v>
      </c>
    </row>
    <row r="315" spans="2:12" x14ac:dyDescent="0.4">
      <c r="C315" s="572" t="s">
        <v>550</v>
      </c>
      <c r="E315" s="601"/>
      <c r="F315" s="601">
        <v>-9</v>
      </c>
      <c r="G315" s="601">
        <v>-12.45</v>
      </c>
      <c r="H315" s="601">
        <v>-15.02</v>
      </c>
      <c r="I315" s="601">
        <v>-19.71</v>
      </c>
      <c r="J315" s="601">
        <v>-9.5500000000000007</v>
      </c>
      <c r="K315" s="601">
        <v>-19.59</v>
      </c>
      <c r="L315" s="556">
        <v>-9.0500000000000007</v>
      </c>
    </row>
    <row r="316" spans="2:12" x14ac:dyDescent="0.4">
      <c r="C316" s="572" t="s">
        <v>551</v>
      </c>
      <c r="E316" s="601"/>
      <c r="F316" s="601"/>
      <c r="G316" s="601"/>
      <c r="H316" s="601"/>
      <c r="I316" s="601"/>
      <c r="J316" s="601"/>
      <c r="K316" s="601">
        <v>1.2</v>
      </c>
      <c r="L316" s="556"/>
    </row>
    <row r="317" spans="2:12" x14ac:dyDescent="0.4">
      <c r="C317" s="572" t="s">
        <v>574</v>
      </c>
      <c r="E317" s="601"/>
      <c r="F317" s="601"/>
      <c r="G317" s="601"/>
      <c r="H317" s="601"/>
      <c r="I317" s="601"/>
      <c r="J317" s="601"/>
      <c r="K317" s="601"/>
      <c r="L317" s="556"/>
    </row>
    <row r="318" spans="2:12" x14ac:dyDescent="0.4">
      <c r="C318" s="572" t="s">
        <v>552</v>
      </c>
      <c r="E318" s="601"/>
      <c r="F318" s="601">
        <v>-0.04</v>
      </c>
      <c r="G318" s="601">
        <v>-1.88</v>
      </c>
      <c r="H318" s="601">
        <v>0.76</v>
      </c>
      <c r="I318" s="601">
        <v>0.69</v>
      </c>
      <c r="J318" s="601">
        <v>1.66</v>
      </c>
      <c r="K318" s="601">
        <v>936.62</v>
      </c>
      <c r="L318" s="556">
        <v>-1.37</v>
      </c>
    </row>
    <row r="319" spans="2:12" x14ac:dyDescent="0.4">
      <c r="C319" s="573" t="s">
        <v>553</v>
      </c>
      <c r="E319" s="601"/>
      <c r="F319" s="601">
        <v>676.71</v>
      </c>
      <c r="G319" s="601">
        <v>733.05</v>
      </c>
      <c r="H319" s="601">
        <v>769.48</v>
      </c>
      <c r="I319" s="601">
        <v>874.38</v>
      </c>
      <c r="J319" s="601">
        <v>923.25</v>
      </c>
      <c r="K319" s="601">
        <v>939.13</v>
      </c>
      <c r="L319" s="556">
        <v>996.05</v>
      </c>
    </row>
    <row r="320" spans="2:12" x14ac:dyDescent="0.4">
      <c r="C320" s="572" t="s">
        <v>575</v>
      </c>
      <c r="E320" s="602">
        <v>219.86</v>
      </c>
      <c r="F320" s="602">
        <v>269.95</v>
      </c>
      <c r="G320" s="602">
        <v>343.1</v>
      </c>
      <c r="H320" s="602">
        <v>430.17</v>
      </c>
      <c r="I320" s="602">
        <v>562.05999999999995</v>
      </c>
      <c r="J320" s="602">
        <v>613.64</v>
      </c>
      <c r="K320" s="602">
        <v>624</v>
      </c>
      <c r="L320" s="602">
        <v>659.53</v>
      </c>
    </row>
    <row r="321" spans="2:12" x14ac:dyDescent="0.4">
      <c r="C321" s="572" t="s">
        <v>576</v>
      </c>
      <c r="E321" s="602">
        <v>25617.5</v>
      </c>
      <c r="F321" s="602">
        <v>29472.99</v>
      </c>
      <c r="G321" s="602">
        <v>32663.68</v>
      </c>
      <c r="H321" s="602">
        <v>34317.35</v>
      </c>
      <c r="I321" s="602">
        <v>37220.06</v>
      </c>
      <c r="J321" s="602">
        <v>39837.56</v>
      </c>
      <c r="K321" s="602">
        <v>41029.589999999997</v>
      </c>
      <c r="L321" s="602">
        <v>43701.47</v>
      </c>
    </row>
    <row r="324" spans="2:12" x14ac:dyDescent="0.4">
      <c r="E324" s="577" t="s">
        <v>577</v>
      </c>
      <c r="F324" s="578">
        <v>2012</v>
      </c>
      <c r="G324" s="578">
        <v>2013</v>
      </c>
      <c r="H324" s="578">
        <v>2014</v>
      </c>
      <c r="I324" s="578">
        <v>2015</v>
      </c>
      <c r="J324" s="579" t="s">
        <v>260</v>
      </c>
      <c r="K324" s="580">
        <v>2016</v>
      </c>
      <c r="L324" s="581" t="s">
        <v>261</v>
      </c>
    </row>
    <row r="325" spans="2:12" x14ac:dyDescent="0.4">
      <c r="E325" s="582" t="s">
        <v>578</v>
      </c>
      <c r="F325" s="583">
        <v>184.28</v>
      </c>
      <c r="G325" s="583">
        <v>200.28</v>
      </c>
      <c r="H325" s="583">
        <v>219.55</v>
      </c>
      <c r="I325" s="583">
        <v>289.93</v>
      </c>
      <c r="J325" s="583">
        <v>158.88999999999999</v>
      </c>
      <c r="K325" s="584">
        <v>302.69</v>
      </c>
      <c r="L325" s="584">
        <v>156.24</v>
      </c>
    </row>
    <row r="326" spans="2:12" x14ac:dyDescent="0.4">
      <c r="E326" s="585" t="s">
        <v>554</v>
      </c>
      <c r="F326" s="556">
        <v>-35.5</v>
      </c>
      <c r="G326" s="556">
        <v>-130.54999999999998</v>
      </c>
      <c r="H326" s="556">
        <v>-173.13000000000002</v>
      </c>
      <c r="I326" s="556">
        <v>-172.39000000000001</v>
      </c>
      <c r="J326" s="556">
        <v>-103.92999999999999</v>
      </c>
      <c r="K326" s="586">
        <v>-231.84</v>
      </c>
      <c r="L326" s="586">
        <v>-91.42</v>
      </c>
    </row>
    <row r="327" spans="2:12" x14ac:dyDescent="0.4">
      <c r="E327" s="587" t="s">
        <v>579</v>
      </c>
      <c r="F327" s="588">
        <v>3.23</v>
      </c>
      <c r="G327" s="588">
        <v>4.67</v>
      </c>
      <c r="H327" s="588">
        <v>4.41</v>
      </c>
      <c r="I327" s="588">
        <v>5</v>
      </c>
      <c r="J327" s="588">
        <v>3.07</v>
      </c>
      <c r="K327" s="589">
        <v>8.08</v>
      </c>
      <c r="L327" s="589">
        <v>3.25</v>
      </c>
    </row>
    <row r="328" spans="2:12" x14ac:dyDescent="0.4">
      <c r="E328" s="556"/>
      <c r="F328" s="556"/>
      <c r="G328" s="556"/>
      <c r="H328" s="556"/>
      <c r="I328" s="556"/>
      <c r="J328" s="556"/>
      <c r="K328" s="556"/>
      <c r="L328" s="556"/>
    </row>
    <row r="329" spans="2:12" x14ac:dyDescent="0.4">
      <c r="E329" s="556"/>
      <c r="F329" s="590">
        <v>2012</v>
      </c>
      <c r="G329" s="591">
        <v>2013</v>
      </c>
      <c r="H329" s="591">
        <v>2014</v>
      </c>
      <c r="I329" s="591">
        <v>2015</v>
      </c>
      <c r="J329" s="592" t="s">
        <v>260</v>
      </c>
      <c r="K329" s="580">
        <v>2016</v>
      </c>
      <c r="L329" s="581" t="s">
        <v>261</v>
      </c>
    </row>
    <row r="330" spans="2:12" x14ac:dyDescent="0.4">
      <c r="E330" s="593" t="s">
        <v>580</v>
      </c>
      <c r="F330" s="594">
        <v>85.589999999999975</v>
      </c>
      <c r="G330" s="595">
        <v>203.70000000000002</v>
      </c>
      <c r="H330" s="595">
        <v>260.20000000000005</v>
      </c>
      <c r="I330" s="595">
        <v>304.27999999999997</v>
      </c>
      <c r="J330" s="595">
        <v>155.51000000000005</v>
      </c>
      <c r="K330" s="596">
        <v>293.78000000000009</v>
      </c>
      <c r="L330" s="596">
        <v>126.94999999999997</v>
      </c>
    </row>
    <row r="331" spans="2:12" x14ac:dyDescent="0.4">
      <c r="E331" s="593" t="s">
        <v>581</v>
      </c>
      <c r="F331" s="597">
        <v>3.3410754367131832E-3</v>
      </c>
      <c r="G331" s="598">
        <v>6.9114127884547854E-3</v>
      </c>
      <c r="H331" s="598">
        <v>7.9660344455982929E-3</v>
      </c>
      <c r="I331" s="598">
        <v>8.8666519996444936E-3</v>
      </c>
      <c r="J331" s="706" t="e">
        <f>NA()</f>
        <v>#N/A</v>
      </c>
      <c r="K331" s="599">
        <v>7.8930555189862701E-3</v>
      </c>
      <c r="L331" s="707" t="e">
        <f>NA()</f>
        <v>#N/A</v>
      </c>
    </row>
    <row r="333" spans="2:12" s="532" customFormat="1" ht="13.5" thickBot="1" x14ac:dyDescent="0.45"/>
    <row r="334" spans="2:12" ht="13.9" thickTop="1" x14ac:dyDescent="0.4">
      <c r="B334" s="27" t="s">
        <v>494</v>
      </c>
    </row>
    <row r="335" spans="2:12" ht="13.5" thickBot="1" x14ac:dyDescent="0.45"/>
    <row r="336" spans="2:12" ht="14.25" thickBot="1" x14ac:dyDescent="0.45">
      <c r="E336" s="657" t="s">
        <v>519</v>
      </c>
      <c r="F336" s="658">
        <v>42916</v>
      </c>
      <c r="G336" s="658">
        <v>42735</v>
      </c>
      <c r="H336" s="659" t="s">
        <v>520</v>
      </c>
      <c r="I336" s="660"/>
      <c r="J336" s="658">
        <v>42916</v>
      </c>
      <c r="K336" s="658">
        <v>42735</v>
      </c>
      <c r="L336" s="659" t="s">
        <v>520</v>
      </c>
    </row>
    <row r="337" spans="5:12" ht="13.5" x14ac:dyDescent="0.4">
      <c r="E337" s="661" t="s">
        <v>43</v>
      </c>
      <c r="F337" s="662">
        <v>1969.32</v>
      </c>
      <c r="G337" s="662">
        <v>1792.21</v>
      </c>
      <c r="H337" s="663">
        <v>177.1099999999999</v>
      </c>
      <c r="I337" s="664" t="s">
        <v>49</v>
      </c>
      <c r="J337" s="665">
        <v>14502.1</v>
      </c>
      <c r="K337" s="665">
        <v>14077.99</v>
      </c>
      <c r="L337" s="666">
        <v>424.1099999999999</v>
      </c>
    </row>
    <row r="338" spans="5:12" ht="13.9" x14ac:dyDescent="0.4">
      <c r="E338" s="667" t="s">
        <v>521</v>
      </c>
      <c r="F338" s="668">
        <v>83.2</v>
      </c>
      <c r="G338" s="669">
        <v>103.14</v>
      </c>
      <c r="H338" s="670">
        <v>-19.939999999999998</v>
      </c>
      <c r="I338" s="671" t="s">
        <v>521</v>
      </c>
      <c r="J338" s="672">
        <v>10670.11</v>
      </c>
      <c r="K338" s="672">
        <v>10039.620000000001</v>
      </c>
      <c r="L338" s="673">
        <v>630.48999999999978</v>
      </c>
    </row>
    <row r="339" spans="5:12" ht="13.9" x14ac:dyDescent="0.4">
      <c r="E339" s="667" t="s">
        <v>522</v>
      </c>
      <c r="F339" s="668">
        <v>25.88</v>
      </c>
      <c r="G339" s="668">
        <v>4.74</v>
      </c>
      <c r="H339" s="670">
        <v>21.14</v>
      </c>
      <c r="I339" s="671" t="s">
        <v>522</v>
      </c>
      <c r="J339" s="672">
        <v>299.89</v>
      </c>
      <c r="K339" s="672">
        <v>285.05</v>
      </c>
      <c r="L339" s="673">
        <v>14.839999999999975</v>
      </c>
    </row>
    <row r="340" spans="5:12" ht="13.9" x14ac:dyDescent="0.4">
      <c r="E340" s="667" t="s">
        <v>523</v>
      </c>
      <c r="F340" s="668">
        <v>340.34</v>
      </c>
      <c r="G340" s="668">
        <v>320.85000000000002</v>
      </c>
      <c r="H340" s="670">
        <v>19.489999999999952</v>
      </c>
      <c r="I340" s="671" t="s">
        <v>523</v>
      </c>
      <c r="J340" s="672">
        <v>2920.27</v>
      </c>
      <c r="K340" s="672">
        <v>3065.91</v>
      </c>
      <c r="L340" s="670">
        <v>-145.63999999999987</v>
      </c>
    </row>
    <row r="341" spans="5:12" ht="13.9" x14ac:dyDescent="0.4">
      <c r="E341" s="667" t="s">
        <v>524</v>
      </c>
      <c r="F341" s="668">
        <v>306.95</v>
      </c>
      <c r="G341" s="668">
        <v>562.04999999999995</v>
      </c>
      <c r="H341" s="674">
        <v>-255.09999999999997</v>
      </c>
      <c r="I341" s="671" t="s">
        <v>524</v>
      </c>
      <c r="J341" s="671">
        <v>611.83000000000004</v>
      </c>
      <c r="K341" s="671">
        <v>687.41</v>
      </c>
      <c r="L341" s="670">
        <v>-75.579999999999927</v>
      </c>
    </row>
    <row r="342" spans="5:12" ht="13.9" x14ac:dyDescent="0.4">
      <c r="E342" s="667" t="s">
        <v>582</v>
      </c>
      <c r="F342" s="668">
        <v>1.58</v>
      </c>
      <c r="G342" s="668">
        <v>0.34</v>
      </c>
      <c r="H342" s="670">
        <v>1.24</v>
      </c>
      <c r="I342" s="671"/>
      <c r="J342" s="671"/>
      <c r="K342" s="671"/>
      <c r="L342" s="670"/>
    </row>
    <row r="343" spans="5:12" ht="13.9" x14ac:dyDescent="0.4">
      <c r="E343" s="667" t="s">
        <v>583</v>
      </c>
      <c r="F343" s="668">
        <v>550.87</v>
      </c>
      <c r="G343" s="668">
        <v>180.56</v>
      </c>
      <c r="H343" s="670">
        <v>370.31</v>
      </c>
      <c r="I343" s="671"/>
      <c r="J343" s="671"/>
      <c r="K343" s="671"/>
      <c r="L343" s="670"/>
    </row>
    <row r="344" spans="5:12" ht="14.25" thickBot="1" x14ac:dyDescent="0.45">
      <c r="E344" s="667" t="s">
        <v>584</v>
      </c>
      <c r="F344" s="668">
        <v>660.5</v>
      </c>
      <c r="G344" s="668">
        <v>620.53</v>
      </c>
      <c r="H344" s="670">
        <v>39.970000000000027</v>
      </c>
      <c r="I344" s="671"/>
      <c r="J344" s="671"/>
      <c r="K344" s="671"/>
      <c r="L344" s="670"/>
    </row>
    <row r="345" spans="5:12" ht="13.5" x14ac:dyDescent="0.4">
      <c r="E345" s="675" t="s">
        <v>48</v>
      </c>
      <c r="F345" s="676">
        <v>3939.3800000000006</v>
      </c>
      <c r="G345" s="677">
        <v>3427.5499999999997</v>
      </c>
      <c r="H345" s="678">
        <v>511.83000000000084</v>
      </c>
      <c r="I345" s="677" t="s">
        <v>50</v>
      </c>
      <c r="J345" s="679">
        <v>4130.84</v>
      </c>
      <c r="K345" s="679">
        <v>3878.23</v>
      </c>
      <c r="L345" s="680">
        <v>252.61000000000013</v>
      </c>
    </row>
    <row r="346" spans="5:12" ht="13.9" x14ac:dyDescent="0.4">
      <c r="E346" s="667" t="s">
        <v>521</v>
      </c>
      <c r="F346" s="668">
        <v>401.39</v>
      </c>
      <c r="G346" s="668">
        <v>377.35</v>
      </c>
      <c r="H346" s="674">
        <v>24.039999999999964</v>
      </c>
      <c r="I346" s="671" t="s">
        <v>521</v>
      </c>
      <c r="J346" s="672">
        <v>985.19</v>
      </c>
      <c r="K346" s="672">
        <v>805.72</v>
      </c>
      <c r="L346" s="673">
        <v>179.47000000000003</v>
      </c>
    </row>
    <row r="347" spans="5:12" ht="13.9" x14ac:dyDescent="0.4">
      <c r="E347" s="667" t="s">
        <v>522</v>
      </c>
      <c r="F347" s="668">
        <v>60.16</v>
      </c>
      <c r="G347" s="668">
        <v>44.72</v>
      </c>
      <c r="H347" s="670">
        <v>15.439999999999998</v>
      </c>
      <c r="I347" s="671" t="s">
        <v>523</v>
      </c>
      <c r="J347" s="672">
        <v>150.49</v>
      </c>
      <c r="K347" s="672">
        <v>204.55</v>
      </c>
      <c r="L347" s="670">
        <v>-54.06</v>
      </c>
    </row>
    <row r="348" spans="5:12" ht="13.9" x14ac:dyDescent="0.4">
      <c r="E348" s="667" t="s">
        <v>523</v>
      </c>
      <c r="F348" s="668">
        <v>2808.92</v>
      </c>
      <c r="G348" s="668">
        <v>2254.62</v>
      </c>
      <c r="H348" s="670">
        <v>554.30000000000018</v>
      </c>
      <c r="I348" s="671" t="s">
        <v>585</v>
      </c>
      <c r="J348" s="672">
        <v>208</v>
      </c>
      <c r="K348" s="672">
        <v>443</v>
      </c>
      <c r="L348" s="670">
        <v>-235</v>
      </c>
    </row>
    <row r="349" spans="5:12" ht="13.9" x14ac:dyDescent="0.4">
      <c r="E349" s="667" t="s">
        <v>524</v>
      </c>
      <c r="F349" s="668">
        <v>603.57000000000005</v>
      </c>
      <c r="G349" s="668">
        <v>663.8</v>
      </c>
      <c r="H349" s="670">
        <v>-60.229999999999905</v>
      </c>
      <c r="I349" s="671" t="s">
        <v>586</v>
      </c>
      <c r="J349" s="672">
        <v>2787.16</v>
      </c>
      <c r="K349" s="672">
        <v>2424.96</v>
      </c>
      <c r="L349" s="670">
        <v>362.19999999999982</v>
      </c>
    </row>
    <row r="350" spans="5:12" ht="13.9" x14ac:dyDescent="0.4">
      <c r="E350" s="667" t="s">
        <v>582</v>
      </c>
      <c r="F350" s="668">
        <v>48.71</v>
      </c>
      <c r="G350" s="668">
        <v>68.040000000000006</v>
      </c>
      <c r="H350" s="670">
        <v>-19.330000000000005</v>
      </c>
      <c r="I350" s="671"/>
      <c r="J350" s="671"/>
      <c r="K350" s="671"/>
      <c r="L350" s="670"/>
    </row>
    <row r="351" spans="5:12" ht="13.9" x14ac:dyDescent="0.4">
      <c r="E351" s="667" t="s">
        <v>583</v>
      </c>
      <c r="F351" s="668">
        <v>16.63</v>
      </c>
      <c r="G351" s="668">
        <v>19.02</v>
      </c>
      <c r="H351" s="670">
        <v>-2.3900000000000006</v>
      </c>
      <c r="I351" s="671"/>
      <c r="J351" s="671"/>
      <c r="K351" s="671"/>
      <c r="L351" s="670"/>
    </row>
    <row r="352" spans="5:12" ht="13.9" x14ac:dyDescent="0.4">
      <c r="E352" s="667"/>
      <c r="F352" s="671"/>
      <c r="G352" s="671"/>
      <c r="H352" s="670"/>
      <c r="I352" s="671"/>
      <c r="J352" s="671"/>
      <c r="K352" s="671"/>
      <c r="L352" s="670"/>
    </row>
    <row r="353" spans="5:12" ht="13.9" x14ac:dyDescent="0.4">
      <c r="E353" s="667"/>
      <c r="F353" s="671"/>
      <c r="G353" s="671"/>
      <c r="H353" s="670"/>
      <c r="I353" s="671"/>
      <c r="J353" s="671"/>
      <c r="K353" s="671"/>
      <c r="L353" s="670"/>
    </row>
    <row r="354" spans="5:12" ht="14.25" thickBot="1" x14ac:dyDescent="0.45">
      <c r="E354" s="681"/>
      <c r="F354" s="682"/>
      <c r="G354" s="682"/>
      <c r="H354" s="683"/>
      <c r="I354" s="682"/>
      <c r="J354" s="682"/>
      <c r="K354" s="682"/>
      <c r="L354" s="683"/>
    </row>
    <row r="355" spans="5:12" ht="14.25" thickBot="1" x14ac:dyDescent="0.45">
      <c r="E355" s="671"/>
      <c r="F355" s="671"/>
      <c r="G355" s="671"/>
      <c r="H355" s="672">
        <v>511.83000000000027</v>
      </c>
      <c r="I355" s="671"/>
      <c r="J355" s="671"/>
      <c r="K355" s="671"/>
      <c r="L355" s="672">
        <v>252.60999999999984</v>
      </c>
    </row>
    <row r="356" spans="5:12" ht="13.9" x14ac:dyDescent="0.4">
      <c r="E356" s="684"/>
      <c r="F356" s="685">
        <v>42916</v>
      </c>
      <c r="G356" s="685">
        <v>42735</v>
      </c>
      <c r="H356" s="686" t="s">
        <v>520</v>
      </c>
      <c r="I356" s="671"/>
      <c r="J356" s="671"/>
      <c r="K356" s="671"/>
      <c r="L356" s="687"/>
    </row>
    <row r="357" spans="5:12" ht="13.9" x14ac:dyDescent="0.4">
      <c r="E357" s="688" t="s">
        <v>521</v>
      </c>
      <c r="F357" s="687">
        <v>12139.890000000001</v>
      </c>
      <c r="G357" s="687">
        <v>11325.83</v>
      </c>
      <c r="H357" s="674">
        <v>814.06000000000131</v>
      </c>
      <c r="I357" s="671"/>
      <c r="J357" s="671"/>
      <c r="K357" s="671"/>
      <c r="L357" s="671"/>
    </row>
    <row r="358" spans="5:12" ht="13.9" x14ac:dyDescent="0.4">
      <c r="E358" s="688" t="s">
        <v>522</v>
      </c>
      <c r="F358" s="687">
        <v>385.92999999999995</v>
      </c>
      <c r="G358" s="687">
        <v>334.51</v>
      </c>
      <c r="H358" s="674">
        <v>51.419999999999959</v>
      </c>
      <c r="I358" s="671"/>
      <c r="J358" s="671"/>
      <c r="K358" s="671"/>
      <c r="L358" s="671"/>
    </row>
    <row r="359" spans="5:12" ht="13.9" x14ac:dyDescent="0.4">
      <c r="E359" s="688" t="s">
        <v>523</v>
      </c>
      <c r="F359" s="687">
        <v>6220.02</v>
      </c>
      <c r="G359" s="687">
        <v>5845.9299999999994</v>
      </c>
      <c r="H359" s="674">
        <v>374.09000000000106</v>
      </c>
      <c r="I359" s="671"/>
      <c r="J359" s="671"/>
      <c r="K359" s="671"/>
      <c r="L359" s="671"/>
    </row>
    <row r="360" spans="5:12" ht="13.9" x14ac:dyDescent="0.4">
      <c r="E360" s="688" t="s">
        <v>524</v>
      </c>
      <c r="F360" s="687">
        <v>1522.35</v>
      </c>
      <c r="G360" s="687">
        <v>1913.2599999999998</v>
      </c>
      <c r="H360" s="674">
        <v>-390.90999999999985</v>
      </c>
      <c r="I360" s="671"/>
      <c r="J360" s="671"/>
      <c r="K360" s="671"/>
      <c r="L360" s="671"/>
    </row>
    <row r="361" spans="5:12" ht="13.9" x14ac:dyDescent="0.4">
      <c r="E361" s="688" t="s">
        <v>582</v>
      </c>
      <c r="F361" s="668">
        <v>50.29</v>
      </c>
      <c r="G361" s="668">
        <v>68.38000000000001</v>
      </c>
      <c r="H361" s="674">
        <v>-18.090000000000011</v>
      </c>
      <c r="I361" s="671"/>
      <c r="J361" s="671"/>
      <c r="K361" s="671"/>
      <c r="L361" s="671"/>
    </row>
    <row r="362" spans="5:12" ht="13.9" x14ac:dyDescent="0.4">
      <c r="E362" s="688" t="s">
        <v>583</v>
      </c>
      <c r="F362" s="689">
        <v>567.5</v>
      </c>
      <c r="G362" s="689">
        <v>199.58</v>
      </c>
      <c r="H362" s="674">
        <v>367.91999999999996</v>
      </c>
      <c r="I362" s="671"/>
      <c r="J362" s="671"/>
      <c r="K362" s="671"/>
      <c r="L362" s="671"/>
    </row>
    <row r="363" spans="5:12" ht="13.9" x14ac:dyDescent="0.4">
      <c r="E363" s="688" t="s">
        <v>584</v>
      </c>
      <c r="F363" s="687">
        <v>660.5</v>
      </c>
      <c r="G363" s="687">
        <v>620.53</v>
      </c>
      <c r="H363" s="674">
        <v>39.970000000000027</v>
      </c>
      <c r="I363" s="671"/>
      <c r="J363" s="671"/>
      <c r="K363" s="671"/>
      <c r="L363" s="671"/>
    </row>
    <row r="364" spans="5:12" ht="13.9" x14ac:dyDescent="0.4">
      <c r="E364" s="688" t="s">
        <v>586</v>
      </c>
      <c r="F364" s="672">
        <v>2787.16</v>
      </c>
      <c r="G364" s="672">
        <v>2424.96</v>
      </c>
      <c r="H364" s="674">
        <v>362.19999999999982</v>
      </c>
      <c r="I364" s="671"/>
      <c r="J364" s="671"/>
      <c r="K364" s="671"/>
      <c r="L364" s="671"/>
    </row>
    <row r="365" spans="5:12" ht="14.25" x14ac:dyDescent="0.4">
      <c r="E365" s="690" t="s">
        <v>585</v>
      </c>
      <c r="F365" s="672">
        <v>208</v>
      </c>
      <c r="G365" s="672">
        <v>443</v>
      </c>
      <c r="H365" s="674">
        <v>-235</v>
      </c>
      <c r="I365" s="671"/>
      <c r="J365" s="671"/>
      <c r="K365" s="671"/>
      <c r="L365" s="671"/>
    </row>
    <row r="366" spans="5:12" ht="13.9" x14ac:dyDescent="0.4">
      <c r="E366" s="688"/>
      <c r="F366" s="671"/>
      <c r="G366" s="671"/>
      <c r="H366" s="674"/>
      <c r="I366" s="671"/>
      <c r="J366" s="671"/>
      <c r="K366" s="671"/>
      <c r="L366" s="671"/>
    </row>
    <row r="367" spans="5:12" ht="13.9" x14ac:dyDescent="0.4">
      <c r="E367" s="688"/>
      <c r="F367" s="671"/>
      <c r="G367" s="671"/>
      <c r="H367" s="674"/>
      <c r="I367" s="671"/>
      <c r="J367" s="671"/>
      <c r="K367" s="671"/>
      <c r="L367" s="671"/>
    </row>
    <row r="368" spans="5:12" ht="14.25" thickBot="1" x14ac:dyDescent="0.45">
      <c r="E368" s="691"/>
      <c r="F368" s="682"/>
      <c r="G368" s="682"/>
      <c r="H368" s="692"/>
      <c r="I368" s="671"/>
      <c r="J368" s="671"/>
      <c r="K368" s="671"/>
      <c r="L368" s="671"/>
    </row>
  </sheetData>
  <phoneticPr fontId="2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7" workbookViewId="0">
      <selection activeCell="C318" sqref="C318"/>
    </sheetView>
  </sheetViews>
  <sheetFormatPr defaultColWidth="8" defaultRowHeight="12.75" x14ac:dyDescent="0.35"/>
  <cols>
    <col min="1" max="1" width="1.3984375" style="17" customWidth="1"/>
    <col min="2" max="2" width="4.46484375" style="17" customWidth="1"/>
    <col min="3" max="3" width="26.73046875" style="17" customWidth="1"/>
    <col min="4" max="4" width="0.59765625" style="17" customWidth="1"/>
    <col min="5" max="5" width="12.86328125" style="17" bestFit="1" customWidth="1"/>
    <col min="6" max="6" width="13.1328125" style="17" bestFit="1" customWidth="1"/>
    <col min="7" max="8" width="9.73046875" style="17" customWidth="1"/>
    <col min="9" max="9" width="11.265625" style="17" bestFit="1" customWidth="1"/>
    <col min="10" max="10" width="10.59765625" style="17" customWidth="1"/>
    <col min="11" max="11" width="10.73046875" style="17" bestFit="1" customWidth="1"/>
    <col min="12" max="217" width="8" style="17"/>
    <col min="218" max="218" width="1.3984375" style="17" customWidth="1"/>
    <col min="219" max="219" width="4.46484375" style="17" customWidth="1"/>
    <col min="220" max="220" width="26.73046875" style="17" customWidth="1"/>
    <col min="221" max="221" width="0.46484375" style="17" customWidth="1"/>
    <col min="222" max="252" width="9.73046875" style="17" customWidth="1"/>
    <col min="253" max="253" width="10.86328125" style="17" customWidth="1"/>
    <col min="254" max="473" width="8" style="17"/>
    <col min="474" max="474" width="1.3984375" style="17" customWidth="1"/>
    <col min="475" max="475" width="4.46484375" style="17" customWidth="1"/>
    <col min="476" max="476" width="26.73046875" style="17" customWidth="1"/>
    <col min="477" max="477" width="0.46484375" style="17" customWidth="1"/>
    <col min="478" max="508" width="9.73046875" style="17" customWidth="1"/>
    <col min="509" max="509" width="10.86328125" style="17" customWidth="1"/>
    <col min="510" max="729" width="8" style="17"/>
    <col min="730" max="730" width="1.3984375" style="17" customWidth="1"/>
    <col min="731" max="731" width="4.46484375" style="17" customWidth="1"/>
    <col min="732" max="732" width="26.73046875" style="17" customWidth="1"/>
    <col min="733" max="733" width="0.46484375" style="17" customWidth="1"/>
    <col min="734" max="764" width="9.73046875" style="17" customWidth="1"/>
    <col min="765" max="765" width="10.86328125" style="17" customWidth="1"/>
    <col min="766" max="985" width="8" style="17"/>
    <col min="986" max="986" width="1.3984375" style="17" customWidth="1"/>
    <col min="987" max="987" width="4.46484375" style="17" customWidth="1"/>
    <col min="988" max="988" width="26.73046875" style="17" customWidth="1"/>
    <col min="989" max="989" width="0.46484375" style="17" customWidth="1"/>
    <col min="990" max="1020" width="9.73046875" style="17" customWidth="1"/>
    <col min="1021" max="1021" width="10.86328125" style="17" customWidth="1"/>
    <col min="1022" max="1241" width="8" style="17"/>
    <col min="1242" max="1242" width="1.3984375" style="17" customWidth="1"/>
    <col min="1243" max="1243" width="4.46484375" style="17" customWidth="1"/>
    <col min="1244" max="1244" width="26.73046875" style="17" customWidth="1"/>
    <col min="1245" max="1245" width="0.46484375" style="17" customWidth="1"/>
    <col min="1246" max="1276" width="9.73046875" style="17" customWidth="1"/>
    <col min="1277" max="1277" width="10.86328125" style="17" customWidth="1"/>
    <col min="1278" max="1497" width="8" style="17"/>
    <col min="1498" max="1498" width="1.3984375" style="17" customWidth="1"/>
    <col min="1499" max="1499" width="4.46484375" style="17" customWidth="1"/>
    <col min="1500" max="1500" width="26.73046875" style="17" customWidth="1"/>
    <col min="1501" max="1501" width="0.46484375" style="17" customWidth="1"/>
    <col min="1502" max="1532" width="9.73046875" style="17" customWidth="1"/>
    <col min="1533" max="1533" width="10.86328125" style="17" customWidth="1"/>
    <col min="1534" max="1753" width="8" style="17"/>
    <col min="1754" max="1754" width="1.3984375" style="17" customWidth="1"/>
    <col min="1755" max="1755" width="4.46484375" style="17" customWidth="1"/>
    <col min="1756" max="1756" width="26.73046875" style="17" customWidth="1"/>
    <col min="1757" max="1757" width="0.46484375" style="17" customWidth="1"/>
    <col min="1758" max="1788" width="9.73046875" style="17" customWidth="1"/>
    <col min="1789" max="1789" width="10.86328125" style="17" customWidth="1"/>
    <col min="1790" max="2009" width="8" style="17"/>
    <col min="2010" max="2010" width="1.3984375" style="17" customWidth="1"/>
    <col min="2011" max="2011" width="4.46484375" style="17" customWidth="1"/>
    <col min="2012" max="2012" width="26.73046875" style="17" customWidth="1"/>
    <col min="2013" max="2013" width="0.46484375" style="17" customWidth="1"/>
    <col min="2014" max="2044" width="9.73046875" style="17" customWidth="1"/>
    <col min="2045" max="2045" width="10.86328125" style="17" customWidth="1"/>
    <col min="2046" max="2265" width="8" style="17"/>
    <col min="2266" max="2266" width="1.3984375" style="17" customWidth="1"/>
    <col min="2267" max="2267" width="4.46484375" style="17" customWidth="1"/>
    <col min="2268" max="2268" width="26.73046875" style="17" customWidth="1"/>
    <col min="2269" max="2269" width="0.46484375" style="17" customWidth="1"/>
    <col min="2270" max="2300" width="9.73046875" style="17" customWidth="1"/>
    <col min="2301" max="2301" width="10.86328125" style="17" customWidth="1"/>
    <col min="2302" max="2521" width="8" style="17"/>
    <col min="2522" max="2522" width="1.3984375" style="17" customWidth="1"/>
    <col min="2523" max="2523" width="4.46484375" style="17" customWidth="1"/>
    <col min="2524" max="2524" width="26.73046875" style="17" customWidth="1"/>
    <col min="2525" max="2525" width="0.46484375" style="17" customWidth="1"/>
    <col min="2526" max="2556" width="9.73046875" style="17" customWidth="1"/>
    <col min="2557" max="2557" width="10.86328125" style="17" customWidth="1"/>
    <col min="2558" max="2777" width="8" style="17"/>
    <col min="2778" max="2778" width="1.3984375" style="17" customWidth="1"/>
    <col min="2779" max="2779" width="4.46484375" style="17" customWidth="1"/>
    <col min="2780" max="2780" width="26.73046875" style="17" customWidth="1"/>
    <col min="2781" max="2781" width="0.46484375" style="17" customWidth="1"/>
    <col min="2782" max="2812" width="9.73046875" style="17" customWidth="1"/>
    <col min="2813" max="2813" width="10.86328125" style="17" customWidth="1"/>
    <col min="2814" max="3033" width="8" style="17"/>
    <col min="3034" max="3034" width="1.3984375" style="17" customWidth="1"/>
    <col min="3035" max="3035" width="4.46484375" style="17" customWidth="1"/>
    <col min="3036" max="3036" width="26.73046875" style="17" customWidth="1"/>
    <col min="3037" max="3037" width="0.46484375" style="17" customWidth="1"/>
    <col min="3038" max="3068" width="9.73046875" style="17" customWidth="1"/>
    <col min="3069" max="3069" width="10.86328125" style="17" customWidth="1"/>
    <col min="3070" max="3289" width="8" style="17"/>
    <col min="3290" max="3290" width="1.3984375" style="17" customWidth="1"/>
    <col min="3291" max="3291" width="4.46484375" style="17" customWidth="1"/>
    <col min="3292" max="3292" width="26.73046875" style="17" customWidth="1"/>
    <col min="3293" max="3293" width="0.46484375" style="17" customWidth="1"/>
    <col min="3294" max="3324" width="9.73046875" style="17" customWidth="1"/>
    <col min="3325" max="3325" width="10.86328125" style="17" customWidth="1"/>
    <col min="3326" max="3545" width="8" style="17"/>
    <col min="3546" max="3546" width="1.3984375" style="17" customWidth="1"/>
    <col min="3547" max="3547" width="4.46484375" style="17" customWidth="1"/>
    <col min="3548" max="3548" width="26.73046875" style="17" customWidth="1"/>
    <col min="3549" max="3549" width="0.46484375" style="17" customWidth="1"/>
    <col min="3550" max="3580" width="9.73046875" style="17" customWidth="1"/>
    <col min="3581" max="3581" width="10.86328125" style="17" customWidth="1"/>
    <col min="3582" max="3801" width="8" style="17"/>
    <col min="3802" max="3802" width="1.3984375" style="17" customWidth="1"/>
    <col min="3803" max="3803" width="4.46484375" style="17" customWidth="1"/>
    <col min="3804" max="3804" width="26.73046875" style="17" customWidth="1"/>
    <col min="3805" max="3805" width="0.46484375" style="17" customWidth="1"/>
    <col min="3806" max="3836" width="9.73046875" style="17" customWidth="1"/>
    <col min="3837" max="3837" width="10.86328125" style="17" customWidth="1"/>
    <col min="3838" max="4057" width="8" style="17"/>
    <col min="4058" max="4058" width="1.3984375" style="17" customWidth="1"/>
    <col min="4059" max="4059" width="4.46484375" style="17" customWidth="1"/>
    <col min="4060" max="4060" width="26.73046875" style="17" customWidth="1"/>
    <col min="4061" max="4061" width="0.46484375" style="17" customWidth="1"/>
    <col min="4062" max="4092" width="9.73046875" style="17" customWidth="1"/>
    <col min="4093" max="4093" width="10.86328125" style="17" customWidth="1"/>
    <col min="4094" max="4313" width="8" style="17"/>
    <col min="4314" max="4314" width="1.3984375" style="17" customWidth="1"/>
    <col min="4315" max="4315" width="4.46484375" style="17" customWidth="1"/>
    <col min="4316" max="4316" width="26.73046875" style="17" customWidth="1"/>
    <col min="4317" max="4317" width="0.46484375" style="17" customWidth="1"/>
    <col min="4318" max="4348" width="9.73046875" style="17" customWidth="1"/>
    <col min="4349" max="4349" width="10.86328125" style="17" customWidth="1"/>
    <col min="4350" max="4569" width="8" style="17"/>
    <col min="4570" max="4570" width="1.3984375" style="17" customWidth="1"/>
    <col min="4571" max="4571" width="4.46484375" style="17" customWidth="1"/>
    <col min="4572" max="4572" width="26.73046875" style="17" customWidth="1"/>
    <col min="4573" max="4573" width="0.46484375" style="17" customWidth="1"/>
    <col min="4574" max="4604" width="9.73046875" style="17" customWidth="1"/>
    <col min="4605" max="4605" width="10.86328125" style="17" customWidth="1"/>
    <col min="4606" max="4825" width="8" style="17"/>
    <col min="4826" max="4826" width="1.3984375" style="17" customWidth="1"/>
    <col min="4827" max="4827" width="4.46484375" style="17" customWidth="1"/>
    <col min="4828" max="4828" width="26.73046875" style="17" customWidth="1"/>
    <col min="4829" max="4829" width="0.46484375" style="17" customWidth="1"/>
    <col min="4830" max="4860" width="9.73046875" style="17" customWidth="1"/>
    <col min="4861" max="4861" width="10.86328125" style="17" customWidth="1"/>
    <col min="4862" max="5081" width="8" style="17"/>
    <col min="5082" max="5082" width="1.3984375" style="17" customWidth="1"/>
    <col min="5083" max="5083" width="4.46484375" style="17" customWidth="1"/>
    <col min="5084" max="5084" width="26.73046875" style="17" customWidth="1"/>
    <col min="5085" max="5085" width="0.46484375" style="17" customWidth="1"/>
    <col min="5086" max="5116" width="9.73046875" style="17" customWidth="1"/>
    <col min="5117" max="5117" width="10.86328125" style="17" customWidth="1"/>
    <col min="5118" max="5337" width="8" style="17"/>
    <col min="5338" max="5338" width="1.3984375" style="17" customWidth="1"/>
    <col min="5339" max="5339" width="4.46484375" style="17" customWidth="1"/>
    <col min="5340" max="5340" width="26.73046875" style="17" customWidth="1"/>
    <col min="5341" max="5341" width="0.46484375" style="17" customWidth="1"/>
    <col min="5342" max="5372" width="9.73046875" style="17" customWidth="1"/>
    <col min="5373" max="5373" width="10.86328125" style="17" customWidth="1"/>
    <col min="5374" max="5593" width="8" style="17"/>
    <col min="5594" max="5594" width="1.3984375" style="17" customWidth="1"/>
    <col min="5595" max="5595" width="4.46484375" style="17" customWidth="1"/>
    <col min="5596" max="5596" width="26.73046875" style="17" customWidth="1"/>
    <col min="5597" max="5597" width="0.46484375" style="17" customWidth="1"/>
    <col min="5598" max="5628" width="9.73046875" style="17" customWidth="1"/>
    <col min="5629" max="5629" width="10.86328125" style="17" customWidth="1"/>
    <col min="5630" max="5849" width="8" style="17"/>
    <col min="5850" max="5850" width="1.3984375" style="17" customWidth="1"/>
    <col min="5851" max="5851" width="4.46484375" style="17" customWidth="1"/>
    <col min="5852" max="5852" width="26.73046875" style="17" customWidth="1"/>
    <col min="5853" max="5853" width="0.46484375" style="17" customWidth="1"/>
    <col min="5854" max="5884" width="9.73046875" style="17" customWidth="1"/>
    <col min="5885" max="5885" width="10.86328125" style="17" customWidth="1"/>
    <col min="5886" max="6105" width="8" style="17"/>
    <col min="6106" max="6106" width="1.3984375" style="17" customWidth="1"/>
    <col min="6107" max="6107" width="4.46484375" style="17" customWidth="1"/>
    <col min="6108" max="6108" width="26.73046875" style="17" customWidth="1"/>
    <col min="6109" max="6109" width="0.46484375" style="17" customWidth="1"/>
    <col min="6110" max="6140" width="9.73046875" style="17" customWidth="1"/>
    <col min="6141" max="6141" width="10.86328125" style="17" customWidth="1"/>
    <col min="6142" max="6361" width="8" style="17"/>
    <col min="6362" max="6362" width="1.3984375" style="17" customWidth="1"/>
    <col min="6363" max="6363" width="4.46484375" style="17" customWidth="1"/>
    <col min="6364" max="6364" width="26.73046875" style="17" customWidth="1"/>
    <col min="6365" max="6365" width="0.46484375" style="17" customWidth="1"/>
    <col min="6366" max="6396" width="9.73046875" style="17" customWidth="1"/>
    <col min="6397" max="6397" width="10.86328125" style="17" customWidth="1"/>
    <col min="6398" max="6617" width="8" style="17"/>
    <col min="6618" max="6618" width="1.3984375" style="17" customWidth="1"/>
    <col min="6619" max="6619" width="4.46484375" style="17" customWidth="1"/>
    <col min="6620" max="6620" width="26.73046875" style="17" customWidth="1"/>
    <col min="6621" max="6621" width="0.46484375" style="17" customWidth="1"/>
    <col min="6622" max="6652" width="9.73046875" style="17" customWidth="1"/>
    <col min="6653" max="6653" width="10.86328125" style="17" customWidth="1"/>
    <col min="6654" max="6873" width="8" style="17"/>
    <col min="6874" max="6874" width="1.3984375" style="17" customWidth="1"/>
    <col min="6875" max="6875" width="4.46484375" style="17" customWidth="1"/>
    <col min="6876" max="6876" width="26.73046875" style="17" customWidth="1"/>
    <col min="6877" max="6877" width="0.46484375" style="17" customWidth="1"/>
    <col min="6878" max="6908" width="9.73046875" style="17" customWidth="1"/>
    <col min="6909" max="6909" width="10.86328125" style="17" customWidth="1"/>
    <col min="6910" max="7129" width="8" style="17"/>
    <col min="7130" max="7130" width="1.3984375" style="17" customWidth="1"/>
    <col min="7131" max="7131" width="4.46484375" style="17" customWidth="1"/>
    <col min="7132" max="7132" width="26.73046875" style="17" customWidth="1"/>
    <col min="7133" max="7133" width="0.46484375" style="17" customWidth="1"/>
    <col min="7134" max="7164" width="9.73046875" style="17" customWidth="1"/>
    <col min="7165" max="7165" width="10.86328125" style="17" customWidth="1"/>
    <col min="7166" max="7385" width="8" style="17"/>
    <col min="7386" max="7386" width="1.3984375" style="17" customWidth="1"/>
    <col min="7387" max="7387" width="4.46484375" style="17" customWidth="1"/>
    <col min="7388" max="7388" width="26.73046875" style="17" customWidth="1"/>
    <col min="7389" max="7389" width="0.46484375" style="17" customWidth="1"/>
    <col min="7390" max="7420" width="9.73046875" style="17" customWidth="1"/>
    <col min="7421" max="7421" width="10.86328125" style="17" customWidth="1"/>
    <col min="7422" max="7641" width="8" style="17"/>
    <col min="7642" max="7642" width="1.3984375" style="17" customWidth="1"/>
    <col min="7643" max="7643" width="4.46484375" style="17" customWidth="1"/>
    <col min="7644" max="7644" width="26.73046875" style="17" customWidth="1"/>
    <col min="7645" max="7645" width="0.46484375" style="17" customWidth="1"/>
    <col min="7646" max="7676" width="9.73046875" style="17" customWidth="1"/>
    <col min="7677" max="7677" width="10.86328125" style="17" customWidth="1"/>
    <col min="7678" max="7897" width="8" style="17"/>
    <col min="7898" max="7898" width="1.3984375" style="17" customWidth="1"/>
    <col min="7899" max="7899" width="4.46484375" style="17" customWidth="1"/>
    <col min="7900" max="7900" width="26.73046875" style="17" customWidth="1"/>
    <col min="7901" max="7901" width="0.46484375" style="17" customWidth="1"/>
    <col min="7902" max="7932" width="9.73046875" style="17" customWidth="1"/>
    <col min="7933" max="7933" width="10.86328125" style="17" customWidth="1"/>
    <col min="7934" max="8153" width="8" style="17"/>
    <col min="8154" max="8154" width="1.3984375" style="17" customWidth="1"/>
    <col min="8155" max="8155" width="4.46484375" style="17" customWidth="1"/>
    <col min="8156" max="8156" width="26.73046875" style="17" customWidth="1"/>
    <col min="8157" max="8157" width="0.46484375" style="17" customWidth="1"/>
    <col min="8158" max="8188" width="9.73046875" style="17" customWidth="1"/>
    <col min="8189" max="8189" width="10.86328125" style="17" customWidth="1"/>
    <col min="8190" max="8409" width="8" style="17"/>
    <col min="8410" max="8410" width="1.3984375" style="17" customWidth="1"/>
    <col min="8411" max="8411" width="4.46484375" style="17" customWidth="1"/>
    <col min="8412" max="8412" width="26.73046875" style="17" customWidth="1"/>
    <col min="8413" max="8413" width="0.46484375" style="17" customWidth="1"/>
    <col min="8414" max="8444" width="9.73046875" style="17" customWidth="1"/>
    <col min="8445" max="8445" width="10.86328125" style="17" customWidth="1"/>
    <col min="8446" max="8665" width="8" style="17"/>
    <col min="8666" max="8666" width="1.3984375" style="17" customWidth="1"/>
    <col min="8667" max="8667" width="4.46484375" style="17" customWidth="1"/>
    <col min="8668" max="8668" width="26.73046875" style="17" customWidth="1"/>
    <col min="8669" max="8669" width="0.46484375" style="17" customWidth="1"/>
    <col min="8670" max="8700" width="9.73046875" style="17" customWidth="1"/>
    <col min="8701" max="8701" width="10.86328125" style="17" customWidth="1"/>
    <col min="8702" max="8921" width="8" style="17"/>
    <col min="8922" max="8922" width="1.3984375" style="17" customWidth="1"/>
    <col min="8923" max="8923" width="4.46484375" style="17" customWidth="1"/>
    <col min="8924" max="8924" width="26.73046875" style="17" customWidth="1"/>
    <col min="8925" max="8925" width="0.46484375" style="17" customWidth="1"/>
    <col min="8926" max="8956" width="9.73046875" style="17" customWidth="1"/>
    <col min="8957" max="8957" width="10.86328125" style="17" customWidth="1"/>
    <col min="8958" max="9177" width="8" style="17"/>
    <col min="9178" max="9178" width="1.3984375" style="17" customWidth="1"/>
    <col min="9179" max="9179" width="4.46484375" style="17" customWidth="1"/>
    <col min="9180" max="9180" width="26.73046875" style="17" customWidth="1"/>
    <col min="9181" max="9181" width="0.46484375" style="17" customWidth="1"/>
    <col min="9182" max="9212" width="9.73046875" style="17" customWidth="1"/>
    <col min="9213" max="9213" width="10.86328125" style="17" customWidth="1"/>
    <col min="9214" max="9433" width="8" style="17"/>
    <col min="9434" max="9434" width="1.3984375" style="17" customWidth="1"/>
    <col min="9435" max="9435" width="4.46484375" style="17" customWidth="1"/>
    <col min="9436" max="9436" width="26.73046875" style="17" customWidth="1"/>
    <col min="9437" max="9437" width="0.46484375" style="17" customWidth="1"/>
    <col min="9438" max="9468" width="9.73046875" style="17" customWidth="1"/>
    <col min="9469" max="9469" width="10.86328125" style="17" customWidth="1"/>
    <col min="9470" max="9689" width="8" style="17"/>
    <col min="9690" max="9690" width="1.3984375" style="17" customWidth="1"/>
    <col min="9691" max="9691" width="4.46484375" style="17" customWidth="1"/>
    <col min="9692" max="9692" width="26.73046875" style="17" customWidth="1"/>
    <col min="9693" max="9693" width="0.46484375" style="17" customWidth="1"/>
    <col min="9694" max="9724" width="9.73046875" style="17" customWidth="1"/>
    <col min="9725" max="9725" width="10.86328125" style="17" customWidth="1"/>
    <col min="9726" max="9945" width="8" style="17"/>
    <col min="9946" max="9946" width="1.3984375" style="17" customWidth="1"/>
    <col min="9947" max="9947" width="4.46484375" style="17" customWidth="1"/>
    <col min="9948" max="9948" width="26.73046875" style="17" customWidth="1"/>
    <col min="9949" max="9949" width="0.46484375" style="17" customWidth="1"/>
    <col min="9950" max="9980" width="9.73046875" style="17" customWidth="1"/>
    <col min="9981" max="9981" width="10.86328125" style="17" customWidth="1"/>
    <col min="9982" max="10201" width="8" style="17"/>
    <col min="10202" max="10202" width="1.3984375" style="17" customWidth="1"/>
    <col min="10203" max="10203" width="4.46484375" style="17" customWidth="1"/>
    <col min="10204" max="10204" width="26.73046875" style="17" customWidth="1"/>
    <col min="10205" max="10205" width="0.46484375" style="17" customWidth="1"/>
    <col min="10206" max="10236" width="9.73046875" style="17" customWidth="1"/>
    <col min="10237" max="10237" width="10.86328125" style="17" customWidth="1"/>
    <col min="10238" max="10457" width="8" style="17"/>
    <col min="10458" max="10458" width="1.3984375" style="17" customWidth="1"/>
    <col min="10459" max="10459" width="4.46484375" style="17" customWidth="1"/>
    <col min="10460" max="10460" width="26.73046875" style="17" customWidth="1"/>
    <col min="10461" max="10461" width="0.46484375" style="17" customWidth="1"/>
    <col min="10462" max="10492" width="9.73046875" style="17" customWidth="1"/>
    <col min="10493" max="10493" width="10.86328125" style="17" customWidth="1"/>
    <col min="10494" max="10713" width="8" style="17"/>
    <col min="10714" max="10714" width="1.3984375" style="17" customWidth="1"/>
    <col min="10715" max="10715" width="4.46484375" style="17" customWidth="1"/>
    <col min="10716" max="10716" width="26.73046875" style="17" customWidth="1"/>
    <col min="10717" max="10717" width="0.46484375" style="17" customWidth="1"/>
    <col min="10718" max="10748" width="9.73046875" style="17" customWidth="1"/>
    <col min="10749" max="10749" width="10.86328125" style="17" customWidth="1"/>
    <col min="10750" max="10969" width="8" style="17"/>
    <col min="10970" max="10970" width="1.3984375" style="17" customWidth="1"/>
    <col min="10971" max="10971" width="4.46484375" style="17" customWidth="1"/>
    <col min="10972" max="10972" width="26.73046875" style="17" customWidth="1"/>
    <col min="10973" max="10973" width="0.46484375" style="17" customWidth="1"/>
    <col min="10974" max="11004" width="9.73046875" style="17" customWidth="1"/>
    <col min="11005" max="11005" width="10.86328125" style="17" customWidth="1"/>
    <col min="11006" max="11225" width="8" style="17"/>
    <col min="11226" max="11226" width="1.3984375" style="17" customWidth="1"/>
    <col min="11227" max="11227" width="4.46484375" style="17" customWidth="1"/>
    <col min="11228" max="11228" width="26.73046875" style="17" customWidth="1"/>
    <col min="11229" max="11229" width="0.46484375" style="17" customWidth="1"/>
    <col min="11230" max="11260" width="9.73046875" style="17" customWidth="1"/>
    <col min="11261" max="11261" width="10.86328125" style="17" customWidth="1"/>
    <col min="11262" max="11481" width="8" style="17"/>
    <col min="11482" max="11482" width="1.3984375" style="17" customWidth="1"/>
    <col min="11483" max="11483" width="4.46484375" style="17" customWidth="1"/>
    <col min="11484" max="11484" width="26.73046875" style="17" customWidth="1"/>
    <col min="11485" max="11485" width="0.46484375" style="17" customWidth="1"/>
    <col min="11486" max="11516" width="9.73046875" style="17" customWidth="1"/>
    <col min="11517" max="11517" width="10.86328125" style="17" customWidth="1"/>
    <col min="11518" max="11737" width="8" style="17"/>
    <col min="11738" max="11738" width="1.3984375" style="17" customWidth="1"/>
    <col min="11739" max="11739" width="4.46484375" style="17" customWidth="1"/>
    <col min="11740" max="11740" width="26.73046875" style="17" customWidth="1"/>
    <col min="11741" max="11741" width="0.46484375" style="17" customWidth="1"/>
    <col min="11742" max="11772" width="9.73046875" style="17" customWidth="1"/>
    <col min="11773" max="11773" width="10.86328125" style="17" customWidth="1"/>
    <col min="11774" max="11993" width="8" style="17"/>
    <col min="11994" max="11994" width="1.3984375" style="17" customWidth="1"/>
    <col min="11995" max="11995" width="4.46484375" style="17" customWidth="1"/>
    <col min="11996" max="11996" width="26.73046875" style="17" customWidth="1"/>
    <col min="11997" max="11997" width="0.46484375" style="17" customWidth="1"/>
    <col min="11998" max="12028" width="9.73046875" style="17" customWidth="1"/>
    <col min="12029" max="12029" width="10.86328125" style="17" customWidth="1"/>
    <col min="12030" max="12249" width="8" style="17"/>
    <col min="12250" max="12250" width="1.3984375" style="17" customWidth="1"/>
    <col min="12251" max="12251" width="4.46484375" style="17" customWidth="1"/>
    <col min="12252" max="12252" width="26.73046875" style="17" customWidth="1"/>
    <col min="12253" max="12253" width="0.46484375" style="17" customWidth="1"/>
    <col min="12254" max="12284" width="9.73046875" style="17" customWidth="1"/>
    <col min="12285" max="12285" width="10.86328125" style="17" customWidth="1"/>
    <col min="12286" max="12505" width="8" style="17"/>
    <col min="12506" max="12506" width="1.3984375" style="17" customWidth="1"/>
    <col min="12507" max="12507" width="4.46484375" style="17" customWidth="1"/>
    <col min="12508" max="12508" width="26.73046875" style="17" customWidth="1"/>
    <col min="12509" max="12509" width="0.46484375" style="17" customWidth="1"/>
    <col min="12510" max="12540" width="9.73046875" style="17" customWidth="1"/>
    <col min="12541" max="12541" width="10.86328125" style="17" customWidth="1"/>
    <col min="12542" max="12761" width="8" style="17"/>
    <col min="12762" max="12762" width="1.3984375" style="17" customWidth="1"/>
    <col min="12763" max="12763" width="4.46484375" style="17" customWidth="1"/>
    <col min="12764" max="12764" width="26.73046875" style="17" customWidth="1"/>
    <col min="12765" max="12765" width="0.46484375" style="17" customWidth="1"/>
    <col min="12766" max="12796" width="9.73046875" style="17" customWidth="1"/>
    <col min="12797" max="12797" width="10.86328125" style="17" customWidth="1"/>
    <col min="12798" max="13017" width="8" style="17"/>
    <col min="13018" max="13018" width="1.3984375" style="17" customWidth="1"/>
    <col min="13019" max="13019" width="4.46484375" style="17" customWidth="1"/>
    <col min="13020" max="13020" width="26.73046875" style="17" customWidth="1"/>
    <col min="13021" max="13021" width="0.46484375" style="17" customWidth="1"/>
    <col min="13022" max="13052" width="9.73046875" style="17" customWidth="1"/>
    <col min="13053" max="13053" width="10.86328125" style="17" customWidth="1"/>
    <col min="13054" max="13273" width="8" style="17"/>
    <col min="13274" max="13274" width="1.3984375" style="17" customWidth="1"/>
    <col min="13275" max="13275" width="4.46484375" style="17" customWidth="1"/>
    <col min="13276" max="13276" width="26.73046875" style="17" customWidth="1"/>
    <col min="13277" max="13277" width="0.46484375" style="17" customWidth="1"/>
    <col min="13278" max="13308" width="9.73046875" style="17" customWidth="1"/>
    <col min="13309" max="13309" width="10.86328125" style="17" customWidth="1"/>
    <col min="13310" max="13529" width="8" style="17"/>
    <col min="13530" max="13530" width="1.3984375" style="17" customWidth="1"/>
    <col min="13531" max="13531" width="4.46484375" style="17" customWidth="1"/>
    <col min="13532" max="13532" width="26.73046875" style="17" customWidth="1"/>
    <col min="13533" max="13533" width="0.46484375" style="17" customWidth="1"/>
    <col min="13534" max="13564" width="9.73046875" style="17" customWidth="1"/>
    <col min="13565" max="13565" width="10.86328125" style="17" customWidth="1"/>
    <col min="13566" max="13785" width="8" style="17"/>
    <col min="13786" max="13786" width="1.3984375" style="17" customWidth="1"/>
    <col min="13787" max="13787" width="4.46484375" style="17" customWidth="1"/>
    <col min="13788" max="13788" width="26.73046875" style="17" customWidth="1"/>
    <col min="13789" max="13789" width="0.46484375" style="17" customWidth="1"/>
    <col min="13790" max="13820" width="9.73046875" style="17" customWidth="1"/>
    <col min="13821" max="13821" width="10.86328125" style="17" customWidth="1"/>
    <col min="13822" max="14041" width="8" style="17"/>
    <col min="14042" max="14042" width="1.3984375" style="17" customWidth="1"/>
    <col min="14043" max="14043" width="4.46484375" style="17" customWidth="1"/>
    <col min="14044" max="14044" width="26.73046875" style="17" customWidth="1"/>
    <col min="14045" max="14045" width="0.46484375" style="17" customWidth="1"/>
    <col min="14046" max="14076" width="9.73046875" style="17" customWidth="1"/>
    <col min="14077" max="14077" width="10.86328125" style="17" customWidth="1"/>
    <col min="14078" max="14297" width="8" style="17"/>
    <col min="14298" max="14298" width="1.3984375" style="17" customWidth="1"/>
    <col min="14299" max="14299" width="4.46484375" style="17" customWidth="1"/>
    <col min="14300" max="14300" width="26.73046875" style="17" customWidth="1"/>
    <col min="14301" max="14301" width="0.46484375" style="17" customWidth="1"/>
    <col min="14302" max="14332" width="9.73046875" style="17" customWidth="1"/>
    <col min="14333" max="14333" width="10.86328125" style="17" customWidth="1"/>
    <col min="14334" max="14553" width="8" style="17"/>
    <col min="14554" max="14554" width="1.3984375" style="17" customWidth="1"/>
    <col min="14555" max="14555" width="4.46484375" style="17" customWidth="1"/>
    <col min="14556" max="14556" width="26.73046875" style="17" customWidth="1"/>
    <col min="14557" max="14557" width="0.46484375" style="17" customWidth="1"/>
    <col min="14558" max="14588" width="9.73046875" style="17" customWidth="1"/>
    <col min="14589" max="14589" width="10.86328125" style="17" customWidth="1"/>
    <col min="14590" max="14809" width="8" style="17"/>
    <col min="14810" max="14810" width="1.3984375" style="17" customWidth="1"/>
    <col min="14811" max="14811" width="4.46484375" style="17" customWidth="1"/>
    <col min="14812" max="14812" width="26.73046875" style="17" customWidth="1"/>
    <col min="14813" max="14813" width="0.46484375" style="17" customWidth="1"/>
    <col min="14814" max="14844" width="9.73046875" style="17" customWidth="1"/>
    <col min="14845" max="14845" width="10.86328125" style="17" customWidth="1"/>
    <col min="14846" max="15065" width="8" style="17"/>
    <col min="15066" max="15066" width="1.3984375" style="17" customWidth="1"/>
    <col min="15067" max="15067" width="4.46484375" style="17" customWidth="1"/>
    <col min="15068" max="15068" width="26.73046875" style="17" customWidth="1"/>
    <col min="15069" max="15069" width="0.46484375" style="17" customWidth="1"/>
    <col min="15070" max="15100" width="9.73046875" style="17" customWidth="1"/>
    <col min="15101" max="15101" width="10.86328125" style="17" customWidth="1"/>
    <col min="15102" max="15321" width="8" style="17"/>
    <col min="15322" max="15322" width="1.3984375" style="17" customWidth="1"/>
    <col min="15323" max="15323" width="4.46484375" style="17" customWidth="1"/>
    <col min="15324" max="15324" width="26.73046875" style="17" customWidth="1"/>
    <col min="15325" max="15325" width="0.46484375" style="17" customWidth="1"/>
    <col min="15326" max="15356" width="9.73046875" style="17" customWidth="1"/>
    <col min="15357" max="15357" width="10.86328125" style="17" customWidth="1"/>
    <col min="15358" max="15577" width="8" style="17"/>
    <col min="15578" max="15578" width="1.3984375" style="17" customWidth="1"/>
    <col min="15579" max="15579" width="4.46484375" style="17" customWidth="1"/>
    <col min="15580" max="15580" width="26.73046875" style="17" customWidth="1"/>
    <col min="15581" max="15581" width="0.46484375" style="17" customWidth="1"/>
    <col min="15582" max="15612" width="9.73046875" style="17" customWidth="1"/>
    <col min="15613" max="15613" width="10.86328125" style="17" customWidth="1"/>
    <col min="15614" max="15833" width="8" style="17"/>
    <col min="15834" max="15834" width="1.3984375" style="17" customWidth="1"/>
    <col min="15835" max="15835" width="4.46484375" style="17" customWidth="1"/>
    <col min="15836" max="15836" width="26.73046875" style="17" customWidth="1"/>
    <col min="15837" max="15837" width="0.46484375" style="17" customWidth="1"/>
    <col min="15838" max="15868" width="9.73046875" style="17" customWidth="1"/>
    <col min="15869" max="15869" width="10.86328125" style="17" customWidth="1"/>
    <col min="15870" max="16089" width="8" style="17"/>
    <col min="16090" max="16090" width="1.3984375" style="17" customWidth="1"/>
    <col min="16091" max="16091" width="4.46484375" style="17" customWidth="1"/>
    <col min="16092" max="16092" width="26.73046875" style="17" customWidth="1"/>
    <col min="16093" max="16093" width="0.46484375" style="17" customWidth="1"/>
    <col min="16094" max="16124" width="9.73046875" style="17" customWidth="1"/>
    <col min="16125" max="16125" width="10.86328125" style="17" customWidth="1"/>
    <col min="16126" max="16384" width="8" style="17"/>
  </cols>
  <sheetData>
    <row r="1" spans="1:11" s="2" customFormat="1" ht="13.5" x14ac:dyDescent="0.4">
      <c r="A1" s="1" t="s">
        <v>0</v>
      </c>
      <c r="C1" s="3" t="s">
        <v>227</v>
      </c>
      <c r="D1" s="4"/>
    </row>
    <row r="2" spans="1:11" s="2" customFormat="1" ht="13.5" x14ac:dyDescent="0.4">
      <c r="A2" s="1" t="s">
        <v>2</v>
      </c>
      <c r="C2" s="3" t="s">
        <v>228</v>
      </c>
      <c r="D2" s="4"/>
    </row>
    <row r="3" spans="1:11" s="2" customFormat="1" ht="13.15" x14ac:dyDescent="0.4">
      <c r="A3" s="1" t="s">
        <v>4</v>
      </c>
      <c r="C3" s="4" t="s">
        <v>5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226" customFormat="1" ht="13.5" x14ac:dyDescent="0.4">
      <c r="A6" s="221"/>
      <c r="B6" s="222"/>
      <c r="C6" s="223" t="str">
        <f>[2]!to_tradecode(C1)</f>
        <v>000001</v>
      </c>
      <c r="D6" s="11">
        <v>38990</v>
      </c>
      <c r="E6" s="11">
        <v>40908</v>
      </c>
      <c r="F6" s="11">
        <v>41274</v>
      </c>
      <c r="G6" s="11">
        <v>41639</v>
      </c>
      <c r="H6" s="11">
        <v>42004</v>
      </c>
      <c r="I6" s="11">
        <v>42369</v>
      </c>
      <c r="J6" s="224">
        <v>42735</v>
      </c>
      <c r="K6" s="225">
        <v>42825</v>
      </c>
    </row>
    <row r="7" spans="1:11" s="12" customFormat="1" ht="2.25" customHeight="1" x14ac:dyDescent="0.4">
      <c r="B7" s="13"/>
      <c r="C7" s="14"/>
      <c r="E7" s="15"/>
      <c r="F7" s="15"/>
      <c r="G7" s="15"/>
      <c r="H7" s="15"/>
      <c r="I7" s="15"/>
      <c r="J7" s="15"/>
      <c r="K7" s="15"/>
    </row>
    <row r="8" spans="1:11" s="12" customFormat="1" ht="13.5" x14ac:dyDescent="0.4">
      <c r="B8" s="117" t="s">
        <v>6</v>
      </c>
      <c r="C8" s="14"/>
      <c r="E8" s="15"/>
      <c r="F8" s="15"/>
      <c r="G8" s="15"/>
      <c r="H8" s="15"/>
      <c r="I8" s="15"/>
      <c r="J8" s="15"/>
      <c r="K8" s="15"/>
    </row>
    <row r="9" spans="1:11" s="227" customFormat="1" ht="13.5" thickBot="1" x14ac:dyDescent="0.4">
      <c r="C9" s="18" t="s">
        <v>7</v>
      </c>
      <c r="E9" s="227">
        <v>2011</v>
      </c>
      <c r="F9" s="227">
        <v>2012</v>
      </c>
      <c r="G9" s="227">
        <v>2013</v>
      </c>
      <c r="H9" s="227">
        <v>2014</v>
      </c>
      <c r="I9" s="227">
        <v>2015</v>
      </c>
      <c r="J9" s="227">
        <v>2016</v>
      </c>
      <c r="K9" s="227" t="s">
        <v>229</v>
      </c>
    </row>
    <row r="10" spans="1:11" ht="13.15" x14ac:dyDescent="0.35">
      <c r="C10" s="188" t="s">
        <v>39</v>
      </c>
      <c r="E10" s="214">
        <v>160635.236</v>
      </c>
      <c r="F10" s="214">
        <v>219347.476</v>
      </c>
      <c r="G10" s="214">
        <v>229924</v>
      </c>
      <c r="H10" s="214">
        <v>306298</v>
      </c>
      <c r="I10" s="228">
        <v>291715</v>
      </c>
      <c r="J10" s="228">
        <v>311258</v>
      </c>
      <c r="K10" s="214">
        <v>269541</v>
      </c>
    </row>
    <row r="11" spans="1:11" ht="13.15" x14ac:dyDescent="0.35">
      <c r="C11" s="27" t="s">
        <v>40</v>
      </c>
      <c r="E11" s="63">
        <v>39884.341999999997</v>
      </c>
      <c r="F11" s="63">
        <v>94295.112999999998</v>
      </c>
      <c r="G11" s="63">
        <v>71914</v>
      </c>
      <c r="H11" s="63">
        <v>66969</v>
      </c>
      <c r="I11" s="229">
        <v>109046</v>
      </c>
      <c r="J11" s="229">
        <v>166882</v>
      </c>
      <c r="K11" s="63">
        <v>173066</v>
      </c>
    </row>
    <row r="12" spans="1:11" ht="13.15" x14ac:dyDescent="0.35">
      <c r="C12" s="27" t="s">
        <v>41</v>
      </c>
      <c r="E12" s="63">
        <v>0</v>
      </c>
      <c r="F12" s="63">
        <v>2430.4639999999999</v>
      </c>
      <c r="G12" s="63">
        <v>21286</v>
      </c>
      <c r="H12" s="63">
        <v>45254</v>
      </c>
      <c r="I12" s="229">
        <v>63744</v>
      </c>
      <c r="J12" s="229">
        <v>93787</v>
      </c>
      <c r="K12" s="63">
        <v>108137</v>
      </c>
    </row>
    <row r="13" spans="1:11" ht="13.15" x14ac:dyDescent="0.35">
      <c r="C13" s="27" t="s">
        <v>42</v>
      </c>
      <c r="E13" s="63">
        <v>8446.5669999999991</v>
      </c>
      <c r="F13" s="63">
        <v>65426</v>
      </c>
      <c r="G13" s="63">
        <v>27241</v>
      </c>
      <c r="H13" s="63">
        <v>45841</v>
      </c>
      <c r="I13" s="229">
        <v>76636</v>
      </c>
      <c r="J13" s="229">
        <v>97450</v>
      </c>
      <c r="K13" s="63">
        <v>69009</v>
      </c>
    </row>
    <row r="14" spans="1:11" ht="13.15" x14ac:dyDescent="0.35">
      <c r="C14" s="27" t="s">
        <v>43</v>
      </c>
      <c r="E14" s="63">
        <v>2607.902</v>
      </c>
      <c r="F14" s="63">
        <v>4237.4520000000002</v>
      </c>
      <c r="G14" s="63">
        <v>10421</v>
      </c>
      <c r="H14" s="63">
        <v>25811</v>
      </c>
      <c r="I14" s="229">
        <v>19757</v>
      </c>
      <c r="J14" s="229">
        <v>57179</v>
      </c>
      <c r="K14" s="63">
        <v>44044</v>
      </c>
    </row>
    <row r="15" spans="1:11" ht="13.15" x14ac:dyDescent="0.35">
      <c r="C15" s="27" t="s">
        <v>44</v>
      </c>
      <c r="E15" s="63">
        <v>810.577</v>
      </c>
      <c r="F15" s="63">
        <v>966.65499999999997</v>
      </c>
      <c r="G15" s="63">
        <v>3397</v>
      </c>
      <c r="H15" s="63">
        <v>4300</v>
      </c>
      <c r="I15" s="229">
        <v>8144</v>
      </c>
      <c r="J15" s="229">
        <v>8730</v>
      </c>
      <c r="K15" s="63">
        <v>4188</v>
      </c>
    </row>
    <row r="16" spans="1:11" ht="13.15" x14ac:dyDescent="0.35">
      <c r="C16" s="27" t="s">
        <v>45</v>
      </c>
      <c r="E16" s="63">
        <v>34303.887000000002</v>
      </c>
      <c r="F16" s="63">
        <v>186472.796</v>
      </c>
      <c r="G16" s="63">
        <v>271692</v>
      </c>
      <c r="H16" s="63">
        <v>178636</v>
      </c>
      <c r="I16" s="229">
        <v>117291</v>
      </c>
      <c r="J16" s="229">
        <v>8876</v>
      </c>
      <c r="K16" s="63">
        <v>810</v>
      </c>
    </row>
    <row r="17" spans="3:11" ht="13.15" x14ac:dyDescent="0.35">
      <c r="C17" s="27" t="s">
        <v>46</v>
      </c>
      <c r="E17" s="63">
        <v>7274.1890000000003</v>
      </c>
      <c r="F17" s="63">
        <v>8757.08</v>
      </c>
      <c r="G17" s="63">
        <v>10043</v>
      </c>
      <c r="H17" s="63">
        <v>11937</v>
      </c>
      <c r="I17" s="229">
        <v>13540</v>
      </c>
      <c r="J17" s="229">
        <v>15770</v>
      </c>
      <c r="K17" s="63">
        <v>17071</v>
      </c>
    </row>
    <row r="18" spans="3:11" ht="13.15" x14ac:dyDescent="0.35">
      <c r="C18" s="27" t="s">
        <v>230</v>
      </c>
      <c r="E18" s="63">
        <v>170589.01</v>
      </c>
      <c r="F18" s="63">
        <v>8364.14</v>
      </c>
      <c r="G18" s="63">
        <v>7058</v>
      </c>
      <c r="H18" s="63">
        <v>9925</v>
      </c>
      <c r="I18" s="229">
        <v>6624</v>
      </c>
      <c r="J18" s="229">
        <v>5568</v>
      </c>
      <c r="K18" s="63">
        <v>5226</v>
      </c>
    </row>
    <row r="19" spans="3:11" ht="12.75" customHeight="1" x14ac:dyDescent="0.35">
      <c r="C19" s="27" t="s">
        <v>47</v>
      </c>
      <c r="E19" s="63">
        <v>610075.33600000001</v>
      </c>
      <c r="F19" s="63">
        <v>708262.39</v>
      </c>
      <c r="G19" s="63">
        <v>832127</v>
      </c>
      <c r="H19" s="63">
        <v>1003637</v>
      </c>
      <c r="I19" s="229">
        <v>1186872</v>
      </c>
      <c r="J19" s="229">
        <v>1435869</v>
      </c>
      <c r="K19" s="63">
        <v>1504184</v>
      </c>
    </row>
    <row r="20" spans="3:11" ht="13.15" x14ac:dyDescent="0.35">
      <c r="C20" s="27" t="s">
        <v>48</v>
      </c>
      <c r="E20" s="63">
        <v>78383.525999999998</v>
      </c>
      <c r="F20" s="63">
        <v>89895.873999999996</v>
      </c>
      <c r="G20" s="63">
        <v>467</v>
      </c>
      <c r="H20" s="63">
        <v>1493</v>
      </c>
      <c r="I20" s="229">
        <v>1245</v>
      </c>
      <c r="J20" s="229">
        <v>1179</v>
      </c>
      <c r="K20" s="63">
        <v>1238</v>
      </c>
    </row>
    <row r="21" spans="3:11" ht="13.15" x14ac:dyDescent="0.35">
      <c r="C21" s="27" t="s">
        <v>49</v>
      </c>
      <c r="E21" s="63">
        <v>107683.08</v>
      </c>
      <c r="F21" s="63">
        <v>103124.183</v>
      </c>
      <c r="G21" s="63">
        <v>195667</v>
      </c>
      <c r="H21" s="63">
        <v>207874</v>
      </c>
      <c r="I21" s="229">
        <v>266166</v>
      </c>
      <c r="J21" s="229">
        <v>286802</v>
      </c>
      <c r="K21" s="63">
        <v>291433</v>
      </c>
    </row>
    <row r="22" spans="3:11" ht="13.15" x14ac:dyDescent="0.35">
      <c r="C22" s="27" t="s">
        <v>50</v>
      </c>
      <c r="E22" s="63">
        <v>13732.1</v>
      </c>
      <c r="F22" s="63">
        <v>90837.7</v>
      </c>
      <c r="G22" s="63">
        <v>184656</v>
      </c>
      <c r="H22" s="63">
        <v>246258</v>
      </c>
      <c r="I22" s="229">
        <v>307635</v>
      </c>
      <c r="J22" s="229">
        <v>414278</v>
      </c>
      <c r="K22" s="63">
        <v>465280</v>
      </c>
    </row>
    <row r="23" spans="3:11" ht="13.15" x14ac:dyDescent="0.35">
      <c r="C23" s="27" t="s">
        <v>51</v>
      </c>
      <c r="E23" s="63"/>
      <c r="F23" s="63"/>
      <c r="G23" s="63"/>
      <c r="H23" s="63"/>
      <c r="I23" s="229"/>
      <c r="J23" s="229"/>
      <c r="K23" s="63"/>
    </row>
    <row r="24" spans="3:11" ht="13.15" x14ac:dyDescent="0.35">
      <c r="C24" s="27" t="s">
        <v>52</v>
      </c>
      <c r="E24" s="63">
        <v>539.29399999999998</v>
      </c>
      <c r="F24" s="63">
        <v>521.79600000000005</v>
      </c>
      <c r="G24" s="63">
        <v>596</v>
      </c>
      <c r="H24" s="63">
        <v>486</v>
      </c>
      <c r="I24" s="229">
        <v>521</v>
      </c>
      <c r="J24" s="229">
        <v>0</v>
      </c>
      <c r="K24" s="63">
        <v>0</v>
      </c>
    </row>
    <row r="25" spans="3:11" ht="13.15" x14ac:dyDescent="0.35">
      <c r="C25" s="27" t="s">
        <v>53</v>
      </c>
      <c r="E25" s="63">
        <v>3524.2649999999999</v>
      </c>
      <c r="F25" s="63">
        <v>3536.4430000000002</v>
      </c>
      <c r="G25" s="63">
        <v>3694</v>
      </c>
      <c r="H25" s="63">
        <v>3812</v>
      </c>
      <c r="I25" s="229">
        <v>4788</v>
      </c>
      <c r="J25" s="229">
        <v>8316</v>
      </c>
      <c r="K25" s="63">
        <v>8119</v>
      </c>
    </row>
    <row r="26" spans="3:11" ht="13.15" x14ac:dyDescent="0.35">
      <c r="C26" s="27" t="s">
        <v>226</v>
      </c>
      <c r="E26" s="63">
        <v>262.79000000000002</v>
      </c>
      <c r="F26" s="63">
        <v>196.37</v>
      </c>
      <c r="G26" s="63">
        <v>116</v>
      </c>
      <c r="H26" s="63">
        <v>110</v>
      </c>
      <c r="I26" s="229">
        <v>212</v>
      </c>
      <c r="J26" s="229">
        <v>221</v>
      </c>
      <c r="K26" s="63">
        <v>221</v>
      </c>
    </row>
    <row r="27" spans="3:11" ht="13.15" x14ac:dyDescent="0.35">
      <c r="C27" s="27" t="s">
        <v>55</v>
      </c>
      <c r="E27" s="63">
        <v>5989.7309999999998</v>
      </c>
      <c r="F27" s="63">
        <v>5878.3789999999999</v>
      </c>
      <c r="G27" s="63">
        <v>5463</v>
      </c>
      <c r="H27" s="63">
        <v>5293</v>
      </c>
      <c r="I27" s="229">
        <v>4961</v>
      </c>
      <c r="J27" s="229">
        <v>4771</v>
      </c>
      <c r="K27" s="63">
        <v>4734</v>
      </c>
    </row>
    <row r="28" spans="3:11" ht="13.15" x14ac:dyDescent="0.35">
      <c r="C28" s="27" t="s">
        <v>56</v>
      </c>
      <c r="E28" s="63">
        <v>7568.3040000000001</v>
      </c>
      <c r="F28" s="63">
        <v>7568.3040000000001</v>
      </c>
      <c r="G28" s="63">
        <v>7568</v>
      </c>
      <c r="H28" s="63">
        <v>7568</v>
      </c>
      <c r="I28" s="229">
        <v>7568</v>
      </c>
      <c r="J28" s="229">
        <v>7568</v>
      </c>
      <c r="K28" s="63">
        <v>7568</v>
      </c>
    </row>
    <row r="29" spans="3:11" ht="13.15" x14ac:dyDescent="0.35">
      <c r="C29" s="27" t="s">
        <v>57</v>
      </c>
      <c r="E29" s="63">
        <v>2889.7620000000002</v>
      </c>
      <c r="F29" s="63">
        <v>3449.6410000000001</v>
      </c>
      <c r="G29" s="63">
        <v>4406</v>
      </c>
      <c r="H29" s="63">
        <v>6834</v>
      </c>
      <c r="I29" s="229">
        <v>8728</v>
      </c>
      <c r="J29" s="229">
        <v>17831</v>
      </c>
      <c r="K29" s="63">
        <v>18935</v>
      </c>
    </row>
    <row r="30" spans="3:11" ht="13.15" x14ac:dyDescent="0.35">
      <c r="C30" s="27" t="s">
        <v>58</v>
      </c>
      <c r="E30" s="197">
        <v>2977.0459999996237</v>
      </c>
      <c r="F30" s="197">
        <v>2968.5039999997243</v>
      </c>
      <c r="G30" s="197">
        <v>4005</v>
      </c>
      <c r="H30" s="197">
        <v>8123</v>
      </c>
      <c r="I30" s="197">
        <v>11956</v>
      </c>
      <c r="J30" s="197">
        <v>11099</v>
      </c>
      <c r="K30" s="197">
        <v>13391</v>
      </c>
    </row>
    <row r="31" spans="3:11" ht="13.5" thickBot="1" x14ac:dyDescent="0.45">
      <c r="C31" s="29" t="s">
        <v>59</v>
      </c>
      <c r="E31" s="134">
        <v>1258176.9439999999</v>
      </c>
      <c r="F31" s="134">
        <v>1606536.76</v>
      </c>
      <c r="G31" s="134">
        <v>1891741</v>
      </c>
      <c r="H31" s="134">
        <v>2186459</v>
      </c>
      <c r="I31" s="230">
        <v>2507149</v>
      </c>
      <c r="J31" s="230">
        <v>2953434</v>
      </c>
      <c r="K31" s="134">
        <v>3006195</v>
      </c>
    </row>
    <row r="33" spans="3:11" ht="13.5" thickBot="1" x14ac:dyDescent="0.45">
      <c r="C33" s="34" t="s">
        <v>60</v>
      </c>
    </row>
    <row r="34" spans="3:11" ht="13.15" x14ac:dyDescent="0.35">
      <c r="C34" s="188" t="s">
        <v>61</v>
      </c>
      <c r="E34" s="214">
        <v>1130.876</v>
      </c>
      <c r="F34" s="214">
        <v>16167.915000000001</v>
      </c>
      <c r="G34" s="214">
        <v>2264</v>
      </c>
      <c r="H34" s="214">
        <v>2754</v>
      </c>
      <c r="I34" s="228">
        <v>3051</v>
      </c>
      <c r="J34" s="228">
        <v>19137</v>
      </c>
      <c r="K34" s="214">
        <v>25074</v>
      </c>
    </row>
    <row r="35" spans="3:11" ht="13.15" x14ac:dyDescent="0.35">
      <c r="C35" s="27" t="s">
        <v>62</v>
      </c>
      <c r="E35" s="63">
        <v>155409.777</v>
      </c>
      <c r="F35" s="63">
        <v>354222.804</v>
      </c>
      <c r="G35" s="63">
        <v>450789</v>
      </c>
      <c r="H35" s="63">
        <v>385451</v>
      </c>
      <c r="I35" s="229">
        <v>311106</v>
      </c>
      <c r="J35" s="229">
        <v>392351</v>
      </c>
      <c r="K35" s="63">
        <v>400576</v>
      </c>
    </row>
    <row r="36" spans="3:11" ht="13.15" x14ac:dyDescent="0.35">
      <c r="C36" s="27" t="s">
        <v>63</v>
      </c>
      <c r="E36" s="63">
        <v>25279.348999999998</v>
      </c>
      <c r="F36" s="63">
        <v>39068.123</v>
      </c>
      <c r="G36" s="63">
        <v>22633</v>
      </c>
      <c r="H36" s="63">
        <v>13551</v>
      </c>
      <c r="I36" s="229">
        <v>12143</v>
      </c>
      <c r="J36" s="229">
        <v>52586</v>
      </c>
      <c r="K36" s="63">
        <v>59513</v>
      </c>
    </row>
    <row r="37" spans="3:11" x14ac:dyDescent="0.35">
      <c r="C37" s="17" t="s">
        <v>64</v>
      </c>
      <c r="E37" s="63">
        <v>0</v>
      </c>
      <c r="F37" s="63">
        <v>1722.3119999999999</v>
      </c>
      <c r="G37" s="63">
        <v>3692</v>
      </c>
      <c r="H37" s="63">
        <v>4259</v>
      </c>
      <c r="I37" s="229">
        <v>8506</v>
      </c>
      <c r="J37" s="229">
        <v>21913</v>
      </c>
      <c r="K37" s="63">
        <v>9663</v>
      </c>
    </row>
    <row r="38" spans="3:11" x14ac:dyDescent="0.35">
      <c r="C38" s="17" t="s">
        <v>65</v>
      </c>
      <c r="E38" s="63">
        <v>732.41800000000001</v>
      </c>
      <c r="F38" s="63">
        <v>952.26099999999997</v>
      </c>
      <c r="G38" s="63">
        <v>2914</v>
      </c>
      <c r="H38" s="63">
        <v>2662</v>
      </c>
      <c r="I38" s="229">
        <v>4037</v>
      </c>
      <c r="J38" s="229">
        <v>8349</v>
      </c>
      <c r="K38" s="63">
        <v>6964</v>
      </c>
    </row>
    <row r="39" spans="3:11" x14ac:dyDescent="0.35">
      <c r="C39" s="17" t="s">
        <v>66</v>
      </c>
      <c r="E39" s="63">
        <v>39197.370999999999</v>
      </c>
      <c r="F39" s="63">
        <v>46147.767999999996</v>
      </c>
      <c r="G39" s="63">
        <v>36049</v>
      </c>
      <c r="H39" s="63">
        <v>22568</v>
      </c>
      <c r="I39" s="229">
        <v>11000</v>
      </c>
      <c r="J39" s="229">
        <v>18941</v>
      </c>
      <c r="K39" s="63">
        <v>12332</v>
      </c>
    </row>
    <row r="40" spans="3:11" ht="13.15" x14ac:dyDescent="0.35">
      <c r="C40" s="27" t="s">
        <v>231</v>
      </c>
      <c r="E40" s="63">
        <v>70560.733999999997</v>
      </c>
      <c r="F40" s="63">
        <v>3051.78</v>
      </c>
      <c r="G40" s="63">
        <v>2149</v>
      </c>
      <c r="H40" s="63">
        <v>1883</v>
      </c>
      <c r="I40" s="229">
        <v>44</v>
      </c>
      <c r="J40" s="229">
        <v>0</v>
      </c>
      <c r="K40" s="63">
        <v>0</v>
      </c>
    </row>
    <row r="41" spans="3:11" x14ac:dyDescent="0.35">
      <c r="C41" s="17" t="s">
        <v>68</v>
      </c>
      <c r="E41" s="63">
        <v>850845.147</v>
      </c>
      <c r="F41" s="63">
        <v>1021107.702</v>
      </c>
      <c r="G41" s="63">
        <v>1217002</v>
      </c>
      <c r="H41" s="63">
        <v>1533183</v>
      </c>
      <c r="I41" s="229">
        <v>1733921</v>
      </c>
      <c r="J41" s="229">
        <v>1921835</v>
      </c>
      <c r="K41" s="63">
        <v>1912082</v>
      </c>
    </row>
    <row r="42" spans="3:11" x14ac:dyDescent="0.35">
      <c r="C42" s="17" t="s">
        <v>69</v>
      </c>
      <c r="E42" s="63">
        <v>3600.3449999999998</v>
      </c>
      <c r="F42" s="63">
        <v>4863.1059999999998</v>
      </c>
      <c r="G42" s="63">
        <v>6013</v>
      </c>
      <c r="H42" s="63">
        <v>7961</v>
      </c>
      <c r="I42" s="229">
        <v>10351</v>
      </c>
      <c r="J42" s="229">
        <v>9289</v>
      </c>
      <c r="K42" s="63">
        <v>6907</v>
      </c>
    </row>
    <row r="43" spans="3:11" x14ac:dyDescent="0.35">
      <c r="C43" s="17" t="s">
        <v>70</v>
      </c>
      <c r="E43" s="63">
        <v>2535.8139999999999</v>
      </c>
      <c r="F43" s="63">
        <v>2298.6419999999998</v>
      </c>
      <c r="G43" s="63">
        <v>4205</v>
      </c>
      <c r="H43" s="63">
        <v>5794</v>
      </c>
      <c r="I43" s="229">
        <v>6571</v>
      </c>
      <c r="J43" s="229">
        <v>12754</v>
      </c>
      <c r="K43" s="63">
        <v>15199</v>
      </c>
    </row>
    <row r="44" spans="3:11" x14ac:dyDescent="0.35">
      <c r="C44" s="17" t="s">
        <v>71</v>
      </c>
      <c r="E44" s="63">
        <v>9913.6610000000001</v>
      </c>
      <c r="F44" s="63">
        <v>11525.905000000001</v>
      </c>
      <c r="G44" s="63">
        <v>16605</v>
      </c>
      <c r="H44" s="63">
        <v>25229</v>
      </c>
      <c r="I44" s="229">
        <v>23253</v>
      </c>
      <c r="J44" s="229">
        <v>21532</v>
      </c>
      <c r="K44" s="63">
        <v>21327</v>
      </c>
    </row>
    <row r="45" spans="3:11" x14ac:dyDescent="0.35">
      <c r="C45" s="17" t="s">
        <v>72</v>
      </c>
      <c r="E45" s="63">
        <v>112.246</v>
      </c>
      <c r="F45" s="63">
        <v>127.676</v>
      </c>
      <c r="G45" s="63">
        <v>56</v>
      </c>
      <c r="H45" s="63">
        <v>25</v>
      </c>
      <c r="I45" s="229">
        <v>26</v>
      </c>
      <c r="J45" s="229">
        <v>90</v>
      </c>
      <c r="K45" s="63">
        <v>60</v>
      </c>
    </row>
    <row r="46" spans="3:11" ht="13.15" x14ac:dyDescent="0.35">
      <c r="C46" s="27" t="s">
        <v>73</v>
      </c>
      <c r="E46" s="63">
        <v>16054.486000000001</v>
      </c>
      <c r="F46" s="63">
        <v>16078.612999999999</v>
      </c>
      <c r="G46" s="63">
        <v>8102</v>
      </c>
      <c r="H46" s="63">
        <v>41750</v>
      </c>
      <c r="I46" s="229">
        <v>212963</v>
      </c>
      <c r="J46" s="229">
        <v>263464</v>
      </c>
      <c r="K46" s="63">
        <v>317079</v>
      </c>
    </row>
    <row r="47" spans="3:11" x14ac:dyDescent="0.35">
      <c r="C47" s="17" t="s">
        <v>74</v>
      </c>
      <c r="E47" s="63">
        <v>1351.0619999999999</v>
      </c>
      <c r="F47" s="63">
        <v>1271.902</v>
      </c>
      <c r="G47" s="63">
        <v>0</v>
      </c>
      <c r="H47" s="63">
        <v>0</v>
      </c>
      <c r="I47" s="229">
        <v>0</v>
      </c>
      <c r="J47" s="229">
        <v>0</v>
      </c>
      <c r="K47" s="63">
        <v>0</v>
      </c>
    </row>
    <row r="48" spans="3:11" x14ac:dyDescent="0.35">
      <c r="C48" s="17" t="s">
        <v>232</v>
      </c>
      <c r="E48" s="197">
        <v>6073.0739999999996</v>
      </c>
      <c r="F48" s="197">
        <v>3131.4760000000001</v>
      </c>
      <c r="G48" s="197">
        <v>7187</v>
      </c>
      <c r="H48" s="197">
        <v>8440</v>
      </c>
      <c r="I48" s="197">
        <v>8677</v>
      </c>
      <c r="J48" s="197">
        <v>9022</v>
      </c>
      <c r="K48" s="197">
        <v>11680</v>
      </c>
    </row>
    <row r="49" spans="3:11" ht="13.5" thickBot="1" x14ac:dyDescent="0.45">
      <c r="C49" s="29" t="s">
        <v>76</v>
      </c>
      <c r="E49" s="134">
        <v>1182796.3600000001</v>
      </c>
      <c r="F49" s="134">
        <v>1521737.9850000001</v>
      </c>
      <c r="G49" s="134">
        <v>1779660</v>
      </c>
      <c r="H49" s="134">
        <v>2055510</v>
      </c>
      <c r="I49" s="230">
        <v>2345649</v>
      </c>
      <c r="J49" s="230">
        <v>2751263</v>
      </c>
      <c r="K49" s="134">
        <v>2798456</v>
      </c>
    </row>
    <row r="50" spans="3:11" x14ac:dyDescent="0.35"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0</v>
      </c>
    </row>
    <row r="51" spans="3:11" ht="13.5" thickBot="1" x14ac:dyDescent="0.45">
      <c r="C51" s="34" t="s">
        <v>77</v>
      </c>
    </row>
    <row r="52" spans="3:11" x14ac:dyDescent="0.35">
      <c r="C52" s="41" t="s">
        <v>78</v>
      </c>
      <c r="E52" s="214">
        <v>5123.3500000000004</v>
      </c>
      <c r="F52" s="214">
        <v>5123.3500000000004</v>
      </c>
      <c r="G52" s="214">
        <v>9521</v>
      </c>
      <c r="H52" s="214">
        <v>11425</v>
      </c>
      <c r="I52" s="228">
        <v>14309</v>
      </c>
      <c r="J52" s="228">
        <v>17170</v>
      </c>
      <c r="K52" s="214">
        <v>17170</v>
      </c>
    </row>
    <row r="53" spans="3:11" ht="13.15" x14ac:dyDescent="0.35">
      <c r="C53" s="189" t="s">
        <v>233</v>
      </c>
      <c r="E53" s="132"/>
      <c r="F53" s="132">
        <v>0</v>
      </c>
      <c r="G53" s="132">
        <v>0</v>
      </c>
      <c r="H53" s="132">
        <v>0</v>
      </c>
      <c r="I53" s="231">
        <v>0</v>
      </c>
      <c r="J53" s="231">
        <v>19953</v>
      </c>
      <c r="K53" s="132">
        <v>19953</v>
      </c>
    </row>
    <row r="54" spans="3:11" x14ac:dyDescent="0.35">
      <c r="C54" s="17" t="s">
        <v>81</v>
      </c>
      <c r="E54" s="63">
        <v>41537.745999999999</v>
      </c>
      <c r="F54" s="63">
        <v>40135.319000000003</v>
      </c>
      <c r="G54" s="63">
        <v>51734</v>
      </c>
      <c r="H54" s="63">
        <v>52270</v>
      </c>
      <c r="I54" s="229">
        <v>59326</v>
      </c>
      <c r="J54" s="229">
        <v>56465</v>
      </c>
      <c r="K54" s="63">
        <v>56465</v>
      </c>
    </row>
    <row r="55" spans="3:11" x14ac:dyDescent="0.35">
      <c r="C55" s="17" t="s">
        <v>121</v>
      </c>
      <c r="E55" s="63">
        <v>0</v>
      </c>
      <c r="F55" s="63">
        <v>0</v>
      </c>
      <c r="G55" s="63">
        <v>0</v>
      </c>
      <c r="H55" s="63">
        <v>-1851</v>
      </c>
      <c r="I55" s="229">
        <v>-1117</v>
      </c>
      <c r="J55" s="229">
        <v>-809</v>
      </c>
      <c r="K55" s="63">
        <v>-581</v>
      </c>
    </row>
    <row r="56" spans="3:11" x14ac:dyDescent="0.35">
      <c r="C56" s="17" t="s">
        <v>83</v>
      </c>
      <c r="E56" s="63">
        <v>2830.4589999999998</v>
      </c>
      <c r="F56" s="63">
        <v>2830.4589999999998</v>
      </c>
      <c r="G56" s="63">
        <v>4354</v>
      </c>
      <c r="H56" s="63">
        <v>6334</v>
      </c>
      <c r="I56" s="229">
        <v>8521</v>
      </c>
      <c r="J56" s="229">
        <v>10781</v>
      </c>
      <c r="K56" s="63">
        <v>10781</v>
      </c>
    </row>
    <row r="57" spans="3:11" x14ac:dyDescent="0.35">
      <c r="C57" s="17" t="s">
        <v>84</v>
      </c>
      <c r="E57" s="63">
        <v>7954.9030000000002</v>
      </c>
      <c r="F57" s="63">
        <v>13632.932000000001</v>
      </c>
      <c r="G57" s="63">
        <v>16509</v>
      </c>
      <c r="H57" s="63">
        <v>19115</v>
      </c>
      <c r="I57" s="229">
        <v>27528</v>
      </c>
      <c r="J57" s="229">
        <v>34468</v>
      </c>
      <c r="K57" s="63">
        <v>34468</v>
      </c>
    </row>
    <row r="58" spans="3:11" x14ac:dyDescent="0.35">
      <c r="C58" s="17" t="s">
        <v>85</v>
      </c>
      <c r="E58" s="63">
        <v>15864.379000000001</v>
      </c>
      <c r="F58" s="63">
        <v>23076.715</v>
      </c>
      <c r="G58" s="63">
        <v>29963</v>
      </c>
      <c r="H58" s="63">
        <v>43656</v>
      </c>
      <c r="I58" s="229">
        <v>52933</v>
      </c>
      <c r="J58" s="229">
        <v>64143</v>
      </c>
      <c r="K58" s="63">
        <v>69483</v>
      </c>
    </row>
    <row r="59" spans="3:11" x14ac:dyDescent="0.35">
      <c r="C59" s="17" t="s">
        <v>86</v>
      </c>
      <c r="E59" s="77">
        <v>0</v>
      </c>
      <c r="F59" s="77">
        <v>0</v>
      </c>
      <c r="G59" s="77">
        <v>0</v>
      </c>
      <c r="H59" s="77">
        <v>0</v>
      </c>
      <c r="I59" s="232">
        <v>0</v>
      </c>
      <c r="J59" s="232">
        <v>0</v>
      </c>
      <c r="K59" s="77">
        <v>0</v>
      </c>
    </row>
    <row r="60" spans="3:11" x14ac:dyDescent="0.35">
      <c r="C60" s="49" t="s">
        <v>87</v>
      </c>
      <c r="E60" s="233">
        <v>73310.837</v>
      </c>
      <c r="F60" s="233">
        <v>84798.774999999994</v>
      </c>
      <c r="G60" s="233">
        <v>112081</v>
      </c>
      <c r="H60" s="233">
        <v>130949</v>
      </c>
      <c r="I60" s="234">
        <v>161500</v>
      </c>
      <c r="J60" s="234">
        <v>202171</v>
      </c>
      <c r="K60" s="233">
        <v>207739</v>
      </c>
    </row>
    <row r="61" spans="3:11" x14ac:dyDescent="0.35">
      <c r="C61" s="51" t="s">
        <v>88</v>
      </c>
      <c r="E61" s="129">
        <v>2069.7469999999998</v>
      </c>
      <c r="F61" s="129">
        <v>0</v>
      </c>
      <c r="G61" s="129">
        <v>0</v>
      </c>
      <c r="H61" s="129">
        <v>0</v>
      </c>
      <c r="I61" s="235">
        <v>0</v>
      </c>
      <c r="J61" s="235">
        <v>0</v>
      </c>
      <c r="K61" s="129">
        <v>0</v>
      </c>
    </row>
    <row r="62" spans="3:11" ht="13.15" x14ac:dyDescent="0.4">
      <c r="C62" s="53" t="s">
        <v>89</v>
      </c>
      <c r="E62" s="54">
        <v>75380.584000000003</v>
      </c>
      <c r="F62" s="54">
        <v>84798.774999999994</v>
      </c>
      <c r="G62" s="54">
        <v>112081</v>
      </c>
      <c r="H62" s="54">
        <v>130949</v>
      </c>
      <c r="I62" s="54">
        <v>161500</v>
      </c>
      <c r="J62" s="54">
        <v>202171</v>
      </c>
      <c r="K62" s="54">
        <v>207739</v>
      </c>
    </row>
    <row r="63" spans="3:11" ht="13.5" thickBot="1" x14ac:dyDescent="0.45">
      <c r="C63" s="55" t="s">
        <v>90</v>
      </c>
      <c r="E63" s="56">
        <v>1258176.9440000001</v>
      </c>
      <c r="F63" s="56">
        <v>1606536.76</v>
      </c>
      <c r="G63" s="56">
        <v>1891741</v>
      </c>
      <c r="H63" s="56">
        <v>2186459</v>
      </c>
      <c r="I63" s="56">
        <v>2507149</v>
      </c>
      <c r="J63" s="56">
        <v>2953434</v>
      </c>
      <c r="K63" s="56">
        <v>3006195</v>
      </c>
    </row>
    <row r="64" spans="3:11" s="58" customFormat="1" ht="13.15" x14ac:dyDescent="0.35">
      <c r="C64" s="57" t="s">
        <v>91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</row>
    <row r="65" spans="2:11" x14ac:dyDescent="0.35">
      <c r="C65" s="17" t="s">
        <v>234</v>
      </c>
      <c r="E65" s="17">
        <v>0</v>
      </c>
      <c r="F65" s="17">
        <v>0</v>
      </c>
      <c r="G65" s="17">
        <v>0</v>
      </c>
      <c r="H65" s="17">
        <v>0</v>
      </c>
      <c r="I65" s="17">
        <v>0</v>
      </c>
      <c r="J65" s="17">
        <v>0</v>
      </c>
      <c r="K65" s="17">
        <v>0</v>
      </c>
    </row>
    <row r="67" spans="2:11" ht="13.5" thickBot="1" x14ac:dyDescent="0.4">
      <c r="B67" s="117" t="s">
        <v>92</v>
      </c>
      <c r="E67" s="17">
        <v>0</v>
      </c>
      <c r="F67" s="17">
        <v>0</v>
      </c>
      <c r="G67" s="17">
        <v>0</v>
      </c>
      <c r="H67" s="17">
        <v>0</v>
      </c>
      <c r="I67" s="17">
        <v>0</v>
      </c>
      <c r="J67" s="17">
        <v>0</v>
      </c>
      <c r="K67" s="17">
        <v>0</v>
      </c>
    </row>
    <row r="68" spans="2:11" ht="13.15" x14ac:dyDescent="0.4">
      <c r="C68" s="61" t="s">
        <v>93</v>
      </c>
      <c r="E68" s="62">
        <v>29643.061000000002</v>
      </c>
      <c r="F68" s="62">
        <v>39748.648000000008</v>
      </c>
      <c r="G68" s="62">
        <v>52189</v>
      </c>
      <c r="H68" s="62">
        <v>73407</v>
      </c>
      <c r="I68" s="62">
        <v>96163</v>
      </c>
      <c r="J68" s="62">
        <v>107715</v>
      </c>
      <c r="K68" s="62">
        <v>27712</v>
      </c>
    </row>
    <row r="69" spans="2:11" x14ac:dyDescent="0.35">
      <c r="C69" s="17" t="s">
        <v>94</v>
      </c>
      <c r="E69" s="24">
        <v>25289.774000000001</v>
      </c>
      <c r="F69" s="24">
        <v>33035.352000000006</v>
      </c>
      <c r="G69" s="24">
        <v>40688</v>
      </c>
      <c r="H69" s="24">
        <v>53046</v>
      </c>
      <c r="I69" s="24">
        <v>66099</v>
      </c>
      <c r="J69" s="24">
        <v>76411</v>
      </c>
      <c r="K69" s="24">
        <v>18869</v>
      </c>
    </row>
    <row r="70" spans="2:11" x14ac:dyDescent="0.35">
      <c r="C70" s="17" t="s">
        <v>95</v>
      </c>
      <c r="E70" s="63">
        <v>52330.697</v>
      </c>
      <c r="F70" s="63">
        <v>74613.675000000003</v>
      </c>
      <c r="G70" s="63">
        <v>93102</v>
      </c>
      <c r="H70" s="63">
        <v>119202</v>
      </c>
      <c r="I70" s="229">
        <v>131649</v>
      </c>
      <c r="J70" s="229">
        <v>131119</v>
      </c>
      <c r="K70" s="63">
        <v>35045</v>
      </c>
    </row>
    <row r="71" spans="2:11" x14ac:dyDescent="0.35">
      <c r="C71" s="17" t="s">
        <v>96</v>
      </c>
      <c r="E71" s="77">
        <v>-27040.922999999999</v>
      </c>
      <c r="F71" s="77">
        <v>-41578.322999999997</v>
      </c>
      <c r="G71" s="77">
        <v>-52414</v>
      </c>
      <c r="H71" s="77">
        <v>-66156</v>
      </c>
      <c r="I71" s="232">
        <v>-65550</v>
      </c>
      <c r="J71" s="232">
        <v>-54708</v>
      </c>
      <c r="K71" s="77">
        <v>-16176</v>
      </c>
    </row>
    <row r="72" spans="2:11" x14ac:dyDescent="0.35">
      <c r="C72" s="66" t="s">
        <v>97</v>
      </c>
      <c r="E72" s="67">
        <v>4353.2870000000003</v>
      </c>
      <c r="F72" s="67">
        <v>6713.2959999999994</v>
      </c>
      <c r="G72" s="67">
        <v>11501</v>
      </c>
      <c r="H72" s="67">
        <v>20361</v>
      </c>
      <c r="I72" s="67">
        <v>30064</v>
      </c>
      <c r="J72" s="67">
        <v>31304</v>
      </c>
      <c r="K72" s="67">
        <v>8843</v>
      </c>
    </row>
    <row r="73" spans="2:11" x14ac:dyDescent="0.35">
      <c r="C73" s="17" t="s">
        <v>98</v>
      </c>
      <c r="E73" s="24">
        <v>3664.6690000000003</v>
      </c>
      <c r="F73" s="24">
        <v>5721.2749999999996</v>
      </c>
      <c r="G73" s="24">
        <v>10456</v>
      </c>
      <c r="H73" s="24">
        <v>17378</v>
      </c>
      <c r="I73" s="24">
        <v>26445</v>
      </c>
      <c r="J73" s="24">
        <v>27859</v>
      </c>
      <c r="K73" s="24">
        <v>8150</v>
      </c>
    </row>
    <row r="74" spans="2:11" x14ac:dyDescent="0.35">
      <c r="C74" s="17" t="s">
        <v>99</v>
      </c>
      <c r="E74" s="63">
        <v>4129.6000000000004</v>
      </c>
      <c r="F74" s="63">
        <v>6449.518</v>
      </c>
      <c r="G74" s="63">
        <v>11821</v>
      </c>
      <c r="H74" s="63">
        <v>19706</v>
      </c>
      <c r="I74" s="229">
        <v>29185</v>
      </c>
      <c r="J74" s="229">
        <v>31309</v>
      </c>
      <c r="K74" s="63">
        <v>9125</v>
      </c>
    </row>
    <row r="75" spans="2:11" x14ac:dyDescent="0.35">
      <c r="C75" s="51" t="s">
        <v>100</v>
      </c>
      <c r="E75" s="129">
        <v>-464.93099999999998</v>
      </c>
      <c r="F75" s="129">
        <v>-728.24300000000005</v>
      </c>
      <c r="G75" s="129">
        <v>-1365</v>
      </c>
      <c r="H75" s="129">
        <v>-2328</v>
      </c>
      <c r="I75" s="235">
        <v>-2740</v>
      </c>
      <c r="J75" s="235">
        <v>-3450</v>
      </c>
      <c r="K75" s="129">
        <v>-975</v>
      </c>
    </row>
    <row r="76" spans="2:11" x14ac:dyDescent="0.35">
      <c r="C76" s="17" t="s">
        <v>101</v>
      </c>
      <c r="E76" s="24">
        <v>688.61799999999994</v>
      </c>
      <c r="F76" s="24">
        <v>992.02099999999996</v>
      </c>
      <c r="G76" s="24">
        <v>1045</v>
      </c>
      <c r="H76" s="24">
        <v>2983</v>
      </c>
      <c r="I76" s="24">
        <v>3619</v>
      </c>
      <c r="J76" s="24">
        <v>3445</v>
      </c>
      <c r="K76" s="24">
        <v>693</v>
      </c>
    </row>
    <row r="77" spans="2:11" x14ac:dyDescent="0.35">
      <c r="C77" s="17" t="s">
        <v>102</v>
      </c>
      <c r="E77" s="63">
        <v>6.0049999999999999</v>
      </c>
      <c r="F77" s="63">
        <v>-29.215</v>
      </c>
      <c r="G77" s="63">
        <v>711</v>
      </c>
      <c r="H77" s="63">
        <v>-10</v>
      </c>
      <c r="I77" s="229">
        <v>107</v>
      </c>
      <c r="J77" s="229">
        <v>49</v>
      </c>
      <c r="K77" s="63">
        <v>-25</v>
      </c>
    </row>
    <row r="78" spans="2:11" x14ac:dyDescent="0.35">
      <c r="C78" s="17" t="s">
        <v>103</v>
      </c>
      <c r="E78" s="63">
        <v>264.97699999999998</v>
      </c>
      <c r="F78" s="63">
        <v>243.27199999999999</v>
      </c>
      <c r="G78" s="63">
        <v>-163</v>
      </c>
      <c r="H78" s="63">
        <v>-388</v>
      </c>
      <c r="I78" s="229">
        <v>-573</v>
      </c>
      <c r="J78" s="229">
        <v>882</v>
      </c>
      <c r="K78" s="63">
        <v>45</v>
      </c>
    </row>
    <row r="79" spans="2:11" ht="13.15" x14ac:dyDescent="0.35">
      <c r="C79" s="27" t="s">
        <v>104</v>
      </c>
      <c r="E79" s="63">
        <v>284.75299999999999</v>
      </c>
      <c r="F79" s="63">
        <v>623.19299999999998</v>
      </c>
      <c r="G79" s="63">
        <v>347</v>
      </c>
      <c r="H79" s="63">
        <v>3168</v>
      </c>
      <c r="I79" s="229">
        <v>3924</v>
      </c>
      <c r="J79" s="229">
        <v>2368</v>
      </c>
      <c r="K79" s="63">
        <v>611</v>
      </c>
    </row>
    <row r="80" spans="2:11" ht="13.15" thickBot="1" x14ac:dyDescent="0.4">
      <c r="C80" s="70" t="s">
        <v>105</v>
      </c>
      <c r="E80" s="71">
        <v>132.88300000000001</v>
      </c>
      <c r="F80" s="71">
        <v>154.77099999999999</v>
      </c>
      <c r="G80" s="71">
        <v>150</v>
      </c>
      <c r="H80" s="71">
        <v>213</v>
      </c>
      <c r="I80" s="236">
        <v>161</v>
      </c>
      <c r="J80" s="236">
        <v>146</v>
      </c>
      <c r="K80" s="71">
        <v>62</v>
      </c>
    </row>
    <row r="81" spans="3:11" ht="13.15" thickBot="1" x14ac:dyDescent="0.4">
      <c r="E81" s="17">
        <v>0</v>
      </c>
      <c r="F81" s="17">
        <v>0</v>
      </c>
      <c r="G81" s="17">
        <v>0</v>
      </c>
      <c r="H81" s="17">
        <v>0</v>
      </c>
      <c r="I81" s="17">
        <v>0</v>
      </c>
      <c r="J81" s="17">
        <v>0</v>
      </c>
      <c r="K81" s="17">
        <v>0</v>
      </c>
    </row>
    <row r="82" spans="3:11" ht="13.15" x14ac:dyDescent="0.4">
      <c r="C82" s="61" t="s">
        <v>106</v>
      </c>
      <c r="E82" s="62">
        <v>-16510.36</v>
      </c>
      <c r="F82" s="62">
        <v>-22206.987000000001</v>
      </c>
      <c r="G82" s="62">
        <v>-32234</v>
      </c>
      <c r="H82" s="62">
        <v>-47161</v>
      </c>
      <c r="I82" s="62">
        <v>-67268</v>
      </c>
      <c r="J82" s="62">
        <v>-77936</v>
      </c>
      <c r="K82" s="62">
        <v>-19484</v>
      </c>
    </row>
    <row r="83" spans="3:11" x14ac:dyDescent="0.35">
      <c r="C83" s="17" t="s">
        <v>107</v>
      </c>
      <c r="E83" s="132">
        <v>-2506.3440000000001</v>
      </c>
      <c r="F83" s="132">
        <v>-3411.9859999999999</v>
      </c>
      <c r="G83" s="132">
        <v>-4065</v>
      </c>
      <c r="H83" s="132">
        <v>-5482</v>
      </c>
      <c r="I83" s="231">
        <v>-6671</v>
      </c>
      <c r="J83" s="231">
        <v>-3445</v>
      </c>
      <c r="K83" s="132">
        <v>-246</v>
      </c>
    </row>
    <row r="84" spans="3:11" x14ac:dyDescent="0.35">
      <c r="C84" s="17" t="s">
        <v>109</v>
      </c>
      <c r="E84" s="63">
        <v>-11855.441999999999</v>
      </c>
      <c r="F84" s="63">
        <v>-15664.394</v>
      </c>
      <c r="G84" s="63">
        <v>-21279</v>
      </c>
      <c r="H84" s="63">
        <v>-26668</v>
      </c>
      <c r="I84" s="229">
        <v>-30112</v>
      </c>
      <c r="J84" s="229">
        <v>-27973</v>
      </c>
      <c r="K84" s="63">
        <v>-6804</v>
      </c>
    </row>
    <row r="85" spans="3:11" x14ac:dyDescent="0.35">
      <c r="C85" s="17" t="s">
        <v>110</v>
      </c>
      <c r="E85" s="63">
        <v>-2148.5740000000001</v>
      </c>
      <c r="F85" s="63">
        <v>-3130.607</v>
      </c>
      <c r="G85" s="63">
        <v>-6890</v>
      </c>
      <c r="H85" s="63">
        <v>-15011</v>
      </c>
      <c r="I85" s="229">
        <v>-30485</v>
      </c>
      <c r="J85" s="229">
        <v>-46518</v>
      </c>
      <c r="K85" s="63">
        <v>-12434</v>
      </c>
    </row>
    <row r="86" spans="3:11" ht="13.15" thickBot="1" x14ac:dyDescent="0.4">
      <c r="C86" s="70" t="s">
        <v>111</v>
      </c>
      <c r="E86" s="71">
        <v>0</v>
      </c>
      <c r="F86" s="71">
        <v>0</v>
      </c>
      <c r="G86" s="71">
        <v>0</v>
      </c>
      <c r="H86" s="71">
        <v>0</v>
      </c>
      <c r="I86" s="236">
        <v>0</v>
      </c>
      <c r="J86" s="236">
        <v>0</v>
      </c>
      <c r="K86" s="71">
        <v>0</v>
      </c>
    </row>
    <row r="87" spans="3:11" ht="13.15" thickBot="1" x14ac:dyDescent="0.4"/>
    <row r="88" spans="3:11" ht="13.15" x14ac:dyDescent="0.4">
      <c r="C88" s="61" t="s">
        <v>112</v>
      </c>
      <c r="E88" s="62">
        <v>13132.701000000001</v>
      </c>
      <c r="F88" s="62">
        <v>17541.661000000007</v>
      </c>
      <c r="G88" s="62">
        <v>19955</v>
      </c>
      <c r="H88" s="62">
        <v>26246</v>
      </c>
      <c r="I88" s="62">
        <v>28895</v>
      </c>
      <c r="J88" s="62">
        <v>29779</v>
      </c>
      <c r="K88" s="62">
        <v>8228</v>
      </c>
    </row>
    <row r="89" spans="3:11" x14ac:dyDescent="0.35">
      <c r="C89" s="17" t="s">
        <v>113</v>
      </c>
      <c r="E89" s="75">
        <v>124.788</v>
      </c>
      <c r="F89" s="75">
        <v>9.2600000000000051</v>
      </c>
      <c r="G89" s="75">
        <v>85</v>
      </c>
      <c r="H89" s="75">
        <v>-52</v>
      </c>
      <c r="I89" s="237">
        <v>-49</v>
      </c>
      <c r="J89" s="237">
        <v>156</v>
      </c>
      <c r="K89" s="75">
        <v>2</v>
      </c>
    </row>
    <row r="90" spans="3:11" x14ac:dyDescent="0.35">
      <c r="C90" s="17" t="s">
        <v>114</v>
      </c>
      <c r="E90" s="63">
        <v>174.416</v>
      </c>
      <c r="F90" s="63">
        <v>97.747</v>
      </c>
      <c r="G90" s="63">
        <v>111</v>
      </c>
      <c r="H90" s="63">
        <v>40</v>
      </c>
      <c r="I90" s="229">
        <v>40</v>
      </c>
      <c r="J90" s="229">
        <v>221</v>
      </c>
      <c r="K90" s="63">
        <v>16</v>
      </c>
    </row>
    <row r="91" spans="3:11" x14ac:dyDescent="0.35">
      <c r="C91" s="76" t="s">
        <v>115</v>
      </c>
      <c r="E91" s="77">
        <v>-49.628</v>
      </c>
      <c r="F91" s="77">
        <v>-88.486999999999995</v>
      </c>
      <c r="G91" s="77">
        <v>-26</v>
      </c>
      <c r="H91" s="77">
        <v>-92</v>
      </c>
      <c r="I91" s="232">
        <v>-89</v>
      </c>
      <c r="J91" s="232">
        <v>-65</v>
      </c>
      <c r="K91" s="77">
        <v>-14</v>
      </c>
    </row>
    <row r="92" spans="3:11" ht="13.15" x14ac:dyDescent="0.4">
      <c r="C92" s="78" t="s">
        <v>116</v>
      </c>
      <c r="E92" s="79">
        <v>13257.489000000001</v>
      </c>
      <c r="F92" s="79">
        <v>17550.921000000006</v>
      </c>
      <c r="G92" s="79">
        <v>20040</v>
      </c>
      <c r="H92" s="79">
        <v>26194</v>
      </c>
      <c r="I92" s="79">
        <v>28846</v>
      </c>
      <c r="J92" s="79">
        <v>29935</v>
      </c>
      <c r="K92" s="79">
        <v>8230</v>
      </c>
    </row>
    <row r="93" spans="3:11" x14ac:dyDescent="0.35">
      <c r="C93" s="17" t="s">
        <v>117</v>
      </c>
      <c r="E93" s="238">
        <v>-2866.998</v>
      </c>
      <c r="F93" s="238">
        <v>-4040.1410000000001</v>
      </c>
      <c r="G93" s="238">
        <v>-4809</v>
      </c>
      <c r="H93" s="238">
        <v>-6392</v>
      </c>
      <c r="I93" s="239">
        <v>-6981</v>
      </c>
      <c r="J93" s="239">
        <v>-7336</v>
      </c>
      <c r="K93" s="238">
        <v>-2016</v>
      </c>
    </row>
    <row r="94" spans="3:11" ht="13.15" x14ac:dyDescent="0.4">
      <c r="C94" s="78" t="s">
        <v>118</v>
      </c>
      <c r="E94" s="79">
        <v>10390.491000000002</v>
      </c>
      <c r="F94" s="79">
        <v>13510.780000000006</v>
      </c>
      <c r="G94" s="79">
        <v>15231</v>
      </c>
      <c r="H94" s="79">
        <v>19802</v>
      </c>
      <c r="I94" s="79">
        <v>21865</v>
      </c>
      <c r="J94" s="79">
        <v>22599</v>
      </c>
      <c r="K94" s="79">
        <v>6214</v>
      </c>
    </row>
    <row r="95" spans="3:11" x14ac:dyDescent="0.35">
      <c r="C95" s="17" t="s">
        <v>119</v>
      </c>
      <c r="E95" s="132">
        <v>10278.630999999999</v>
      </c>
      <c r="F95" s="132">
        <v>13402.700999999999</v>
      </c>
      <c r="G95" s="132">
        <v>15231</v>
      </c>
      <c r="H95" s="132">
        <v>19802</v>
      </c>
      <c r="I95" s="231">
        <v>21865</v>
      </c>
      <c r="J95" s="231">
        <v>22599</v>
      </c>
      <c r="K95" s="132">
        <v>6214</v>
      </c>
    </row>
    <row r="96" spans="3:11" ht="13.15" thickBot="1" x14ac:dyDescent="0.4">
      <c r="C96" s="70" t="s">
        <v>120</v>
      </c>
      <c r="E96" s="24">
        <v>111.8600000000024</v>
      </c>
      <c r="F96" s="24">
        <v>108.079000000007</v>
      </c>
      <c r="G96" s="24">
        <v>0</v>
      </c>
      <c r="H96" s="24">
        <v>0</v>
      </c>
      <c r="I96" s="24">
        <v>0</v>
      </c>
      <c r="J96" s="24">
        <v>0</v>
      </c>
      <c r="K96" s="24">
        <v>0</v>
      </c>
    </row>
    <row r="97" spans="2:11" x14ac:dyDescent="0.35">
      <c r="C97" s="17" t="s">
        <v>121</v>
      </c>
      <c r="E97" s="220">
        <v>451</v>
      </c>
      <c r="F97" s="220">
        <v>-890</v>
      </c>
      <c r="G97" s="220">
        <v>-1811</v>
      </c>
      <c r="H97" s="220">
        <v>586</v>
      </c>
      <c r="I97" s="240">
        <v>734</v>
      </c>
      <c r="J97" s="240">
        <v>308</v>
      </c>
      <c r="K97" s="220">
        <v>227.99999999999997</v>
      </c>
    </row>
    <row r="98" spans="2:11" ht="13.15" x14ac:dyDescent="0.4">
      <c r="C98" s="78" t="s">
        <v>122</v>
      </c>
      <c r="E98" s="54">
        <v>10841.053</v>
      </c>
      <c r="F98" s="54">
        <v>12620.58</v>
      </c>
      <c r="G98" s="54">
        <v>13420</v>
      </c>
      <c r="H98" s="54">
        <v>20388</v>
      </c>
      <c r="I98" s="54">
        <v>22599</v>
      </c>
      <c r="J98" s="54">
        <v>22907</v>
      </c>
      <c r="K98" s="54">
        <v>6442</v>
      </c>
    </row>
    <row r="99" spans="2:11" x14ac:dyDescent="0.35">
      <c r="C99" s="17" t="s">
        <v>123</v>
      </c>
      <c r="E99" s="233">
        <v>10721.543</v>
      </c>
      <c r="F99" s="233">
        <v>12494.233</v>
      </c>
      <c r="G99" s="233">
        <v>13420</v>
      </c>
      <c r="H99" s="233">
        <v>20388</v>
      </c>
      <c r="I99" s="234">
        <v>22599</v>
      </c>
      <c r="J99" s="234">
        <v>22907</v>
      </c>
      <c r="K99" s="233">
        <v>6442</v>
      </c>
    </row>
    <row r="100" spans="2:11" ht="13.15" thickBot="1" x14ac:dyDescent="0.4">
      <c r="C100" s="70" t="s">
        <v>124</v>
      </c>
      <c r="E100" s="241">
        <v>119.51</v>
      </c>
      <c r="F100" s="241">
        <v>126.34699999999999</v>
      </c>
      <c r="G100" s="241">
        <v>0</v>
      </c>
      <c r="H100" s="241">
        <v>0</v>
      </c>
      <c r="I100" s="241">
        <v>0</v>
      </c>
      <c r="J100" s="241">
        <v>0</v>
      </c>
      <c r="K100" s="241">
        <v>0</v>
      </c>
    </row>
    <row r="101" spans="2:11" ht="13.15" thickBot="1" x14ac:dyDescent="0.4">
      <c r="E101" s="17">
        <v>0.43800000000192085</v>
      </c>
      <c r="F101" s="17">
        <v>0.20000000000618456</v>
      </c>
      <c r="G101" s="17">
        <v>0</v>
      </c>
      <c r="H101" s="17">
        <v>0</v>
      </c>
      <c r="I101" s="17">
        <v>0</v>
      </c>
      <c r="J101" s="17">
        <v>0</v>
      </c>
      <c r="K101" s="17">
        <v>0</v>
      </c>
    </row>
    <row r="102" spans="2:11" ht="13.15" x14ac:dyDescent="0.4">
      <c r="C102" s="90" t="s">
        <v>125</v>
      </c>
      <c r="E102" s="41"/>
      <c r="F102" s="41"/>
      <c r="G102" s="41"/>
      <c r="H102" s="41"/>
      <c r="I102" s="41"/>
      <c r="J102" s="41"/>
      <c r="K102" s="41"/>
    </row>
    <row r="103" spans="2:11" x14ac:dyDescent="0.35">
      <c r="C103" s="17" t="s">
        <v>126</v>
      </c>
      <c r="E103" s="242">
        <v>2.4700000000000002</v>
      </c>
      <c r="F103" s="242">
        <v>2.62</v>
      </c>
      <c r="G103" s="242">
        <v>1.86</v>
      </c>
      <c r="H103" s="242">
        <v>1.73</v>
      </c>
      <c r="I103" s="242">
        <v>1.56</v>
      </c>
      <c r="J103" s="242">
        <v>1.32</v>
      </c>
      <c r="K103" s="242">
        <v>0.31</v>
      </c>
    </row>
    <row r="104" spans="2:11" ht="13.15" thickBot="1" x14ac:dyDescent="0.4">
      <c r="C104" s="70" t="s">
        <v>127</v>
      </c>
      <c r="E104" s="243">
        <v>2.4700000000000002</v>
      </c>
      <c r="F104" s="243">
        <v>2.62</v>
      </c>
      <c r="G104" s="243">
        <v>1.86</v>
      </c>
      <c r="H104" s="242">
        <v>1.73</v>
      </c>
      <c r="I104" s="242">
        <v>1.56</v>
      </c>
      <c r="J104" s="242">
        <v>1.32</v>
      </c>
      <c r="K104" s="242">
        <v>0.31</v>
      </c>
    </row>
    <row r="106" spans="2:11" ht="13.15" x14ac:dyDescent="0.35">
      <c r="C106" s="27"/>
    </row>
    <row r="107" spans="2:11" ht="13.5" thickBot="1" x14ac:dyDescent="0.4">
      <c r="B107" s="114" t="s">
        <v>128</v>
      </c>
      <c r="C107" s="95"/>
    </row>
    <row r="108" spans="2:11" ht="13.15" x14ac:dyDescent="0.35">
      <c r="B108" s="96"/>
      <c r="C108" s="97" t="s">
        <v>130</v>
      </c>
      <c r="E108" s="214">
        <v>430705.60700000002</v>
      </c>
      <c r="F108" s="214">
        <v>494945.52799999999</v>
      </c>
      <c r="G108" s="214">
        <v>521639</v>
      </c>
      <c r="H108" s="214">
        <v>639739</v>
      </c>
      <c r="I108" s="228">
        <v>774996</v>
      </c>
      <c r="J108" s="228">
        <v>934857</v>
      </c>
      <c r="K108" s="214">
        <v>963004</v>
      </c>
    </row>
    <row r="109" spans="2:11" ht="13.15" x14ac:dyDescent="0.35">
      <c r="B109" s="96"/>
      <c r="C109" s="97" t="s">
        <v>131</v>
      </c>
      <c r="E109" s="63">
        <v>413022.70500000002</v>
      </c>
      <c r="F109" s="63">
        <v>484535.16499999998</v>
      </c>
      <c r="G109" s="63">
        <v>509301</v>
      </c>
      <c r="H109" s="63">
        <v>627326</v>
      </c>
      <c r="I109" s="229">
        <v>761331</v>
      </c>
      <c r="J109" s="229">
        <v>920011</v>
      </c>
      <c r="K109" s="63">
        <v>956386</v>
      </c>
    </row>
    <row r="110" spans="2:11" ht="13.15" x14ac:dyDescent="0.35">
      <c r="B110" s="96"/>
      <c r="C110" s="97" t="s">
        <v>150</v>
      </c>
      <c r="E110" s="63">
        <v>17682.901999999998</v>
      </c>
      <c r="F110" s="63">
        <v>10410.362999999999</v>
      </c>
      <c r="G110" s="63">
        <v>12338</v>
      </c>
      <c r="H110" s="63">
        <v>12413</v>
      </c>
      <c r="I110" s="229">
        <v>13665</v>
      </c>
      <c r="J110" s="229">
        <v>14846</v>
      </c>
      <c r="K110" s="63">
        <v>6618</v>
      </c>
    </row>
    <row r="111" spans="2:11" ht="13.15" x14ac:dyDescent="0.35">
      <c r="B111" s="99"/>
      <c r="C111" s="97" t="s">
        <v>151</v>
      </c>
      <c r="E111" s="63">
        <v>189936.21</v>
      </c>
      <c r="F111" s="63">
        <v>225834.52</v>
      </c>
      <c r="G111" s="63">
        <v>325650</v>
      </c>
      <c r="H111" s="63">
        <v>384995</v>
      </c>
      <c r="I111" s="229">
        <v>441142</v>
      </c>
      <c r="J111" s="229">
        <v>540944</v>
      </c>
      <c r="K111" s="63">
        <v>585158</v>
      </c>
    </row>
    <row r="112" spans="2:11" ht="13.15" x14ac:dyDescent="0.35">
      <c r="B112" s="96"/>
      <c r="C112" s="97" t="s">
        <v>134</v>
      </c>
      <c r="E112" s="63">
        <v>-10565.746999999999</v>
      </c>
      <c r="F112" s="63">
        <v>-12517.657999999999</v>
      </c>
      <c r="G112" s="63">
        <v>-15162</v>
      </c>
      <c r="H112" s="63">
        <v>-21097</v>
      </c>
      <c r="I112" s="229">
        <v>-29266</v>
      </c>
      <c r="J112" s="229">
        <v>-39932</v>
      </c>
      <c r="K112" s="63">
        <v>-43978</v>
      </c>
    </row>
    <row r="113" spans="2:11" ht="13.5" x14ac:dyDescent="0.4">
      <c r="B113" s="101"/>
      <c r="C113" s="102" t="s">
        <v>135</v>
      </c>
      <c r="E113" s="244">
        <v>620641.08299999998</v>
      </c>
      <c r="F113" s="244">
        <v>720780.04800000007</v>
      </c>
      <c r="G113" s="244">
        <v>847289</v>
      </c>
      <c r="H113" s="244">
        <v>1024734</v>
      </c>
      <c r="I113" s="244">
        <v>1216138</v>
      </c>
      <c r="J113" s="244">
        <v>1475801</v>
      </c>
      <c r="K113" s="244">
        <v>1548162</v>
      </c>
    </row>
    <row r="114" spans="2:11" ht="13.9" thickBot="1" x14ac:dyDescent="0.45">
      <c r="B114" s="101"/>
      <c r="C114" s="104" t="s">
        <v>136</v>
      </c>
      <c r="E114" s="56">
        <v>610075.33600000001</v>
      </c>
      <c r="F114" s="56">
        <v>708262.39</v>
      </c>
      <c r="G114" s="56">
        <v>832127</v>
      </c>
      <c r="H114" s="56">
        <v>1003637</v>
      </c>
      <c r="I114" s="56">
        <v>1186872</v>
      </c>
      <c r="J114" s="56">
        <v>1435869</v>
      </c>
      <c r="K114" s="56">
        <v>1504184</v>
      </c>
    </row>
    <row r="115" spans="2:11" s="58" customFormat="1" ht="13.15" x14ac:dyDescent="0.35">
      <c r="C115" s="57" t="s">
        <v>91</v>
      </c>
      <c r="E115" s="59">
        <v>-0.7340000000258442</v>
      </c>
      <c r="F115" s="59">
        <v>8.7311491370201111E-11</v>
      </c>
      <c r="G115" s="59">
        <v>0</v>
      </c>
      <c r="H115" s="59">
        <v>0</v>
      </c>
      <c r="I115" s="59">
        <v>0</v>
      </c>
      <c r="J115" s="59">
        <v>0</v>
      </c>
      <c r="K115" s="59">
        <v>0</v>
      </c>
    </row>
    <row r="118" spans="2:11" ht="13.5" thickBot="1" x14ac:dyDescent="0.4">
      <c r="B118" s="114" t="s">
        <v>137</v>
      </c>
      <c r="C118" s="107"/>
    </row>
    <row r="119" spans="2:11" ht="13.15" x14ac:dyDescent="0.35">
      <c r="B119" s="99"/>
      <c r="C119" s="97" t="s">
        <v>138</v>
      </c>
      <c r="E119" s="245">
        <f>E120+E121</f>
        <v>273818.82900000003</v>
      </c>
      <c r="F119" s="245">
        <f>F120+F121</f>
        <v>342563.16800000001</v>
      </c>
      <c r="G119" s="245">
        <f t="shared" ref="G119:K119" si="0">G120+G121</f>
        <v>380275</v>
      </c>
      <c r="H119" s="245">
        <f t="shared" si="0"/>
        <v>405340</v>
      </c>
      <c r="I119" s="245">
        <f t="shared" si="0"/>
        <v>548555</v>
      </c>
      <c r="J119" s="245">
        <f t="shared" si="0"/>
        <v>797867</v>
      </c>
      <c r="K119" s="245">
        <f t="shared" si="0"/>
        <v>0</v>
      </c>
    </row>
    <row r="120" spans="2:11" ht="13.15" x14ac:dyDescent="0.35">
      <c r="B120" s="99"/>
      <c r="C120" s="97" t="s">
        <v>139</v>
      </c>
      <c r="E120" s="63">
        <v>204743.62700000001</v>
      </c>
      <c r="F120" s="63">
        <v>257351.13099999999</v>
      </c>
      <c r="G120" s="63">
        <v>275775</v>
      </c>
      <c r="H120" s="63">
        <v>288534</v>
      </c>
      <c r="I120" s="229">
        <v>407795</v>
      </c>
      <c r="J120" s="229">
        <v>637159</v>
      </c>
      <c r="K120" s="63">
        <v>0</v>
      </c>
    </row>
    <row r="121" spans="2:11" ht="13.15" x14ac:dyDescent="0.35">
      <c r="B121" s="99"/>
      <c r="C121" s="97" t="s">
        <v>140</v>
      </c>
      <c r="E121" s="63">
        <v>69075.202000000005</v>
      </c>
      <c r="F121" s="63">
        <v>85212.036999999997</v>
      </c>
      <c r="G121" s="63">
        <v>104500</v>
      </c>
      <c r="H121" s="63">
        <v>116806</v>
      </c>
      <c r="I121" s="229">
        <v>140760</v>
      </c>
      <c r="J121" s="229">
        <v>160708</v>
      </c>
      <c r="K121" s="63">
        <v>0</v>
      </c>
    </row>
    <row r="122" spans="2:11" ht="13.5" x14ac:dyDescent="0.4">
      <c r="B122" s="108"/>
      <c r="C122" s="97" t="s">
        <v>141</v>
      </c>
      <c r="E122" s="246">
        <f>SUM(E123:E124)</f>
        <v>346497.51500000001</v>
      </c>
      <c r="F122" s="246">
        <f t="shared" ref="F122:J122" si="1">SUM(F123:F124)</f>
        <v>437393.30700000003</v>
      </c>
      <c r="G122" s="246">
        <f t="shared" si="1"/>
        <v>555621</v>
      </c>
      <c r="H122" s="246">
        <f t="shared" si="1"/>
        <v>735447</v>
      </c>
      <c r="I122" s="246">
        <f t="shared" si="1"/>
        <v>770988</v>
      </c>
      <c r="J122" s="246">
        <f t="shared" si="1"/>
        <v>728624</v>
      </c>
      <c r="K122" s="63">
        <v>0</v>
      </c>
    </row>
    <row r="123" spans="2:11" ht="13.5" x14ac:dyDescent="0.4">
      <c r="B123" s="108"/>
      <c r="C123" s="97" t="s">
        <v>139</v>
      </c>
      <c r="E123" s="63">
        <v>276087.20299999998</v>
      </c>
      <c r="F123" s="63">
        <v>349045.22100000002</v>
      </c>
      <c r="G123" s="63">
        <v>456656.00000000006</v>
      </c>
      <c r="H123" s="63">
        <v>622740</v>
      </c>
      <c r="I123" s="229">
        <v>657565</v>
      </c>
      <c r="J123" s="229">
        <v>646418</v>
      </c>
      <c r="K123" s="63"/>
    </row>
    <row r="124" spans="2:11" ht="13.5" x14ac:dyDescent="0.4">
      <c r="B124" s="108"/>
      <c r="C124" s="97" t="s">
        <v>140</v>
      </c>
      <c r="E124" s="63">
        <v>70410.312000000005</v>
      </c>
      <c r="F124" s="63">
        <v>88348.085999999996</v>
      </c>
      <c r="G124" s="63">
        <v>98965</v>
      </c>
      <c r="H124" s="63">
        <v>112707</v>
      </c>
      <c r="I124" s="229">
        <v>113423</v>
      </c>
      <c r="J124" s="229">
        <v>82206</v>
      </c>
      <c r="K124" s="63">
        <v>0</v>
      </c>
    </row>
    <row r="125" spans="2:11" ht="13.5" x14ac:dyDescent="0.4">
      <c r="B125" s="108"/>
      <c r="C125" s="97" t="s">
        <v>142</v>
      </c>
      <c r="E125" s="129">
        <f>E128-E122-E119</f>
        <v>230528.80299999996</v>
      </c>
      <c r="F125" s="129">
        <f t="shared" ref="F125:J125" si="2">F128-F122-F119</f>
        <v>241151.22700000001</v>
      </c>
      <c r="G125" s="129">
        <f t="shared" si="2"/>
        <v>281106</v>
      </c>
      <c r="H125" s="129">
        <f t="shared" si="2"/>
        <v>392396</v>
      </c>
      <c r="I125" s="129">
        <f t="shared" si="2"/>
        <v>414378</v>
      </c>
      <c r="J125" s="129">
        <f t="shared" si="2"/>
        <v>395344</v>
      </c>
      <c r="K125" s="129">
        <v>0</v>
      </c>
    </row>
    <row r="126" spans="2:11" ht="13.5" x14ac:dyDescent="0.4">
      <c r="B126" s="108"/>
      <c r="C126" s="110" t="s">
        <v>143</v>
      </c>
      <c r="E126" s="24">
        <f>E120+E123</f>
        <v>480830.82999999996</v>
      </c>
      <c r="F126" s="24">
        <f t="shared" ref="F126:J126" si="3">F120+F123</f>
        <v>606396.35199999996</v>
      </c>
      <c r="G126" s="24">
        <f t="shared" si="3"/>
        <v>732431</v>
      </c>
      <c r="H126" s="24">
        <f t="shared" si="3"/>
        <v>911274</v>
      </c>
      <c r="I126" s="24">
        <f t="shared" si="3"/>
        <v>1065360</v>
      </c>
      <c r="J126" s="24">
        <f t="shared" si="3"/>
        <v>1283577</v>
      </c>
      <c r="K126" s="129">
        <v>0</v>
      </c>
    </row>
    <row r="127" spans="2:11" ht="13.5" x14ac:dyDescent="0.4">
      <c r="B127" s="108"/>
      <c r="C127" s="97" t="s">
        <v>144</v>
      </c>
      <c r="E127" s="24">
        <f>E124+E121</f>
        <v>139485.51400000002</v>
      </c>
      <c r="F127" s="24">
        <f t="shared" ref="F127:J127" si="4">F124+F121</f>
        <v>173560.12299999999</v>
      </c>
      <c r="G127" s="24">
        <f t="shared" si="4"/>
        <v>203465</v>
      </c>
      <c r="H127" s="24">
        <f t="shared" si="4"/>
        <v>229513</v>
      </c>
      <c r="I127" s="24">
        <f t="shared" si="4"/>
        <v>254183</v>
      </c>
      <c r="J127" s="24">
        <f t="shared" si="4"/>
        <v>242914</v>
      </c>
      <c r="K127" s="129">
        <v>0</v>
      </c>
    </row>
    <row r="128" spans="2:11" ht="13.9" thickBot="1" x14ac:dyDescent="0.45">
      <c r="B128" s="108"/>
      <c r="C128" s="112" t="s">
        <v>145</v>
      </c>
      <c r="E128" s="56">
        <f>E41</f>
        <v>850845.147</v>
      </c>
      <c r="F128" s="56">
        <v>1021107.702</v>
      </c>
      <c r="G128" s="56">
        <v>1217002</v>
      </c>
      <c r="H128" s="56">
        <v>1533183</v>
      </c>
      <c r="I128" s="56">
        <v>1733921</v>
      </c>
      <c r="J128" s="56">
        <v>1921835</v>
      </c>
      <c r="K128" s="56">
        <v>1912082</v>
      </c>
    </row>
    <row r="129" spans="2:11" s="58" customFormat="1" ht="13.5" x14ac:dyDescent="0.4">
      <c r="B129" s="113"/>
      <c r="C129" s="57" t="s">
        <v>91</v>
      </c>
      <c r="E129" s="59"/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</row>
    <row r="130" spans="2:11" ht="13.5" x14ac:dyDescent="0.4">
      <c r="B130" s="108"/>
      <c r="C130" s="114"/>
    </row>
    <row r="132" spans="2:11" ht="13.15" x14ac:dyDescent="0.35">
      <c r="B132" s="114" t="s">
        <v>146</v>
      </c>
    </row>
    <row r="133" spans="2:11" ht="13.9" thickBot="1" x14ac:dyDescent="0.45">
      <c r="B133" s="116"/>
      <c r="C133" s="14"/>
      <c r="E133" s="17">
        <v>0</v>
      </c>
      <c r="F133" s="17">
        <v>0</v>
      </c>
      <c r="G133" s="17">
        <v>0</v>
      </c>
      <c r="H133" s="17">
        <v>0</v>
      </c>
      <c r="I133" s="17">
        <v>0</v>
      </c>
      <c r="J133" s="17">
        <v>0</v>
      </c>
      <c r="K133" s="17">
        <v>0</v>
      </c>
    </row>
    <row r="134" spans="2:11" ht="13.15" x14ac:dyDescent="0.35">
      <c r="B134" s="117"/>
      <c r="C134" s="118" t="s">
        <v>147</v>
      </c>
      <c r="E134" s="247">
        <v>1131800</v>
      </c>
      <c r="F134" s="247">
        <v>1395034</v>
      </c>
      <c r="G134" s="247">
        <v>1762388</v>
      </c>
      <c r="H134" s="247">
        <v>2064595</v>
      </c>
      <c r="I134" s="247">
        <v>2439991</v>
      </c>
      <c r="J134" s="247">
        <v>2774577</v>
      </c>
      <c r="K134" s="247"/>
    </row>
    <row r="135" spans="2:11" ht="13.15" x14ac:dyDescent="0.35">
      <c r="B135" s="117"/>
      <c r="C135" s="141" t="s">
        <v>235</v>
      </c>
      <c r="E135" s="248">
        <v>576214</v>
      </c>
      <c r="F135" s="248">
        <v>644886</v>
      </c>
      <c r="G135" s="248">
        <v>776509</v>
      </c>
      <c r="H135" s="248">
        <v>926824</v>
      </c>
      <c r="I135" s="248">
        <v>1148727</v>
      </c>
      <c r="J135" s="248">
        <v>1319934</v>
      </c>
      <c r="K135" s="248"/>
    </row>
    <row r="136" spans="2:11" ht="13.15" x14ac:dyDescent="0.35">
      <c r="B136" s="99"/>
      <c r="C136" s="122" t="s">
        <v>130</v>
      </c>
      <c r="E136" s="199"/>
      <c r="F136" s="199"/>
      <c r="G136" s="199"/>
      <c r="H136" s="199"/>
      <c r="I136" s="199"/>
      <c r="J136" s="199"/>
      <c r="K136" s="199"/>
    </row>
    <row r="137" spans="2:11" ht="13.15" x14ac:dyDescent="0.35">
      <c r="B137" s="99"/>
      <c r="C137" s="124" t="s">
        <v>236</v>
      </c>
      <c r="E137" s="63"/>
      <c r="F137" s="63"/>
      <c r="G137" s="63"/>
      <c r="H137" s="63"/>
      <c r="I137" s="229"/>
      <c r="J137" s="229"/>
      <c r="K137" s="63"/>
    </row>
    <row r="138" spans="2:11" ht="13.15" x14ac:dyDescent="0.35">
      <c r="B138" s="116"/>
      <c r="C138" s="124" t="s">
        <v>150</v>
      </c>
      <c r="E138" s="63"/>
      <c r="F138" s="63"/>
      <c r="G138" s="63"/>
      <c r="H138" s="63"/>
      <c r="I138" s="229"/>
      <c r="J138" s="229"/>
      <c r="K138" s="63"/>
    </row>
    <row r="139" spans="2:11" ht="13.15" x14ac:dyDescent="0.35">
      <c r="B139" s="116"/>
      <c r="C139" s="125" t="s">
        <v>151</v>
      </c>
      <c r="E139" s="77"/>
      <c r="F139" s="77"/>
      <c r="G139" s="77"/>
      <c r="H139" s="77"/>
      <c r="I139" s="232"/>
      <c r="J139" s="232"/>
      <c r="K139" s="77"/>
    </row>
    <row r="140" spans="2:11" ht="13.15" x14ac:dyDescent="0.35">
      <c r="B140" s="116"/>
      <c r="C140" s="170" t="s">
        <v>152</v>
      </c>
      <c r="E140" s="127">
        <v>176762</v>
      </c>
      <c r="F140" s="127">
        <v>194909</v>
      </c>
      <c r="G140" s="127">
        <v>205648</v>
      </c>
      <c r="H140" s="127">
        <v>221710</v>
      </c>
      <c r="I140" s="249">
        <v>281751</v>
      </c>
      <c r="J140" s="249">
        <v>345753</v>
      </c>
      <c r="K140" s="127"/>
    </row>
    <row r="141" spans="2:11" ht="13.15" x14ac:dyDescent="0.35">
      <c r="B141" s="116"/>
      <c r="C141" s="124" t="s">
        <v>153</v>
      </c>
      <c r="E141" s="63"/>
      <c r="F141" s="63"/>
      <c r="G141" s="63"/>
      <c r="H141" s="63"/>
      <c r="I141" s="229"/>
      <c r="J141" s="229"/>
      <c r="K141" s="63"/>
    </row>
    <row r="142" spans="2:11" ht="13.15" x14ac:dyDescent="0.35">
      <c r="B142" s="116"/>
      <c r="C142" s="124" t="s">
        <v>154</v>
      </c>
      <c r="E142" s="63"/>
      <c r="F142" s="63"/>
      <c r="G142" s="63"/>
      <c r="H142" s="63"/>
      <c r="I142" s="229"/>
      <c r="J142" s="229"/>
      <c r="K142" s="63"/>
    </row>
    <row r="143" spans="2:11" ht="13.15" x14ac:dyDescent="0.35">
      <c r="B143" s="116"/>
      <c r="C143" s="128" t="s">
        <v>155</v>
      </c>
      <c r="E143" s="63"/>
      <c r="F143" s="63"/>
      <c r="G143" s="63"/>
      <c r="H143" s="63"/>
      <c r="I143" s="229"/>
      <c r="J143" s="229"/>
      <c r="K143" s="63"/>
    </row>
    <row r="144" spans="2:11" ht="13.15" x14ac:dyDescent="0.35">
      <c r="B144" s="116"/>
      <c r="C144" s="125" t="s">
        <v>156</v>
      </c>
      <c r="E144" s="129"/>
      <c r="F144" s="129"/>
      <c r="G144" s="129"/>
      <c r="H144" s="129"/>
      <c r="I144" s="235"/>
      <c r="J144" s="235"/>
      <c r="K144" s="129"/>
    </row>
    <row r="145" spans="2:11" ht="13.15" x14ac:dyDescent="0.35">
      <c r="B145" s="116"/>
      <c r="C145" s="170" t="s">
        <v>157</v>
      </c>
      <c r="E145" s="130">
        <v>129145</v>
      </c>
      <c r="F145" s="130">
        <v>178012</v>
      </c>
      <c r="G145" s="130">
        <v>226250</v>
      </c>
      <c r="H145" s="130">
        <v>263446</v>
      </c>
      <c r="I145" s="250">
        <v>287495</v>
      </c>
      <c r="J145" s="250">
        <v>290896</v>
      </c>
      <c r="K145" s="130"/>
    </row>
    <row r="146" spans="2:11" ht="13.15" x14ac:dyDescent="0.35">
      <c r="B146" s="116"/>
      <c r="C146" s="141" t="s">
        <v>158</v>
      </c>
      <c r="E146" s="131">
        <v>190066</v>
      </c>
      <c r="F146" s="131">
        <v>255079</v>
      </c>
      <c r="G146" s="131">
        <v>549741</v>
      </c>
      <c r="H146" s="131">
        <v>645606</v>
      </c>
      <c r="I146" s="251">
        <v>663532</v>
      </c>
      <c r="J146" s="251">
        <v>736119</v>
      </c>
      <c r="K146" s="131"/>
    </row>
    <row r="147" spans="2:11" ht="13.15" x14ac:dyDescent="0.35">
      <c r="B147" s="116"/>
      <c r="C147" s="124" t="s">
        <v>159</v>
      </c>
      <c r="E147" s="132"/>
      <c r="F147" s="132"/>
      <c r="G147" s="132"/>
      <c r="H147" s="132"/>
      <c r="I147" s="132"/>
      <c r="J147" s="132"/>
      <c r="K147" s="132"/>
    </row>
    <row r="148" spans="2:11" ht="13.15" x14ac:dyDescent="0.35">
      <c r="B148" s="116"/>
      <c r="C148" s="124" t="s">
        <v>42</v>
      </c>
      <c r="E148" s="63"/>
      <c r="F148" s="63"/>
      <c r="G148" s="63"/>
      <c r="H148" s="63"/>
      <c r="I148" s="63"/>
      <c r="J148" s="63"/>
      <c r="K148" s="63"/>
    </row>
    <row r="149" spans="2:11" ht="13.15" x14ac:dyDescent="0.35">
      <c r="B149" s="116"/>
      <c r="C149" s="125" t="s">
        <v>160</v>
      </c>
      <c r="E149" s="77"/>
      <c r="F149" s="77"/>
      <c r="G149" s="77"/>
      <c r="H149" s="77"/>
      <c r="I149" s="77"/>
      <c r="J149" s="77"/>
      <c r="K149" s="77"/>
    </row>
    <row r="150" spans="2:11" ht="13.5" thickBot="1" x14ac:dyDescent="0.4">
      <c r="B150" s="116"/>
      <c r="C150" s="133" t="s">
        <v>161</v>
      </c>
      <c r="E150" s="134">
        <v>59613</v>
      </c>
      <c r="F150" s="134">
        <v>122148</v>
      </c>
      <c r="G150" s="134">
        <v>4240</v>
      </c>
      <c r="H150" s="134">
        <v>7009</v>
      </c>
      <c r="I150" s="134">
        <v>58486</v>
      </c>
      <c r="J150" s="134">
        <v>81875</v>
      </c>
      <c r="K150" s="134"/>
    </row>
    <row r="151" spans="2:11" ht="13.15" x14ac:dyDescent="0.35">
      <c r="B151" s="116"/>
      <c r="C151" s="114"/>
    </row>
    <row r="152" spans="2:11" ht="13.15" thickBot="1" x14ac:dyDescent="0.4">
      <c r="B152" s="135"/>
      <c r="C152" s="136"/>
      <c r="H152" s="17">
        <v>16844587</v>
      </c>
      <c r="I152" s="17">
        <v>18759070</v>
      </c>
      <c r="J152" s="17">
        <v>19996202</v>
      </c>
    </row>
    <row r="153" spans="2:11" ht="13.15" x14ac:dyDescent="0.35">
      <c r="B153" s="116"/>
      <c r="C153" s="137" t="s">
        <v>162</v>
      </c>
      <c r="E153" s="252">
        <v>1066341</v>
      </c>
      <c r="F153" s="252">
        <v>1315968</v>
      </c>
      <c r="G153" s="252">
        <v>1668199</v>
      </c>
      <c r="H153" s="252">
        <v>1963857</v>
      </c>
      <c r="I153" s="252">
        <v>2282197</v>
      </c>
      <c r="J153" s="252">
        <v>2572154</v>
      </c>
      <c r="K153" s="252"/>
    </row>
    <row r="154" spans="2:11" ht="13.15" x14ac:dyDescent="0.35">
      <c r="B154" s="116"/>
      <c r="C154" s="141" t="s">
        <v>163</v>
      </c>
      <c r="E154" s="248">
        <v>802740</v>
      </c>
      <c r="F154" s="248">
        <v>912025</v>
      </c>
      <c r="G154" s="248">
        <v>1141822</v>
      </c>
      <c r="H154" s="248">
        <v>1414660</v>
      </c>
      <c r="I154" s="248">
        <v>1665643</v>
      </c>
      <c r="J154" s="248">
        <v>1878116</v>
      </c>
      <c r="K154" s="248"/>
    </row>
    <row r="155" spans="2:11" ht="13.15" x14ac:dyDescent="0.35">
      <c r="B155" s="116"/>
      <c r="C155" s="124" t="s">
        <v>138</v>
      </c>
      <c r="E155" s="199"/>
      <c r="F155" s="199"/>
      <c r="G155" s="199"/>
      <c r="H155" s="199"/>
      <c r="I155" s="199"/>
      <c r="J155" s="199"/>
      <c r="K155" s="199"/>
    </row>
    <row r="156" spans="2:11" ht="13.15" x14ac:dyDescent="0.35">
      <c r="B156" s="116"/>
      <c r="C156" s="124" t="s">
        <v>164</v>
      </c>
      <c r="E156" s="63"/>
      <c r="F156" s="63"/>
      <c r="G156" s="63"/>
      <c r="H156" s="63"/>
      <c r="I156" s="229"/>
      <c r="J156" s="229"/>
      <c r="K156" s="63"/>
    </row>
    <row r="157" spans="2:11" ht="13.15" x14ac:dyDescent="0.35">
      <c r="B157" s="116"/>
      <c r="C157" s="124" t="s">
        <v>165</v>
      </c>
      <c r="E157" s="63"/>
      <c r="F157" s="63"/>
      <c r="G157" s="63"/>
      <c r="H157" s="63"/>
      <c r="I157" s="229"/>
      <c r="J157" s="229"/>
      <c r="K157" s="63"/>
    </row>
    <row r="158" spans="2:11" ht="13.15" x14ac:dyDescent="0.35">
      <c r="B158" s="116"/>
      <c r="C158" s="124" t="s">
        <v>141</v>
      </c>
      <c r="E158" s="253"/>
      <c r="F158" s="253"/>
      <c r="G158" s="253"/>
      <c r="H158" s="253"/>
      <c r="I158" s="254"/>
      <c r="J158" s="254"/>
      <c r="K158" s="253"/>
    </row>
    <row r="159" spans="2:11" ht="13.15" x14ac:dyDescent="0.35">
      <c r="B159" s="116"/>
      <c r="C159" s="124" t="s">
        <v>166</v>
      </c>
      <c r="E159" s="63"/>
      <c r="F159" s="63"/>
      <c r="G159" s="63"/>
      <c r="H159" s="63"/>
      <c r="I159" s="229"/>
      <c r="J159" s="229"/>
      <c r="K159" s="63"/>
    </row>
    <row r="160" spans="2:11" ht="13.15" x14ac:dyDescent="0.35">
      <c r="B160" s="116"/>
      <c r="C160" s="124" t="s">
        <v>167</v>
      </c>
      <c r="E160" s="63"/>
      <c r="F160" s="63"/>
      <c r="G160" s="63"/>
      <c r="H160" s="63"/>
      <c r="I160" s="229"/>
      <c r="J160" s="229"/>
      <c r="K160" s="63"/>
    </row>
    <row r="161" spans="2:11" ht="13.15" x14ac:dyDescent="0.35">
      <c r="B161" s="116"/>
      <c r="C161" s="125" t="s">
        <v>237</v>
      </c>
      <c r="E161" s="77"/>
      <c r="F161" s="77"/>
      <c r="G161" s="77"/>
      <c r="H161" s="77"/>
      <c r="I161" s="232"/>
      <c r="J161" s="232"/>
      <c r="K161" s="77"/>
    </row>
    <row r="162" spans="2:11" ht="13.15" x14ac:dyDescent="0.35">
      <c r="B162" s="116"/>
      <c r="C162" s="170" t="s">
        <v>169</v>
      </c>
      <c r="E162" s="131">
        <v>14939</v>
      </c>
      <c r="F162" s="131">
        <v>16107</v>
      </c>
      <c r="G162" s="131">
        <v>10810</v>
      </c>
      <c r="H162" s="131">
        <v>27717</v>
      </c>
      <c r="I162" s="131">
        <v>126055</v>
      </c>
      <c r="J162" s="131">
        <v>281405</v>
      </c>
      <c r="K162" s="131"/>
    </row>
    <row r="163" spans="2:11" ht="13.15" x14ac:dyDescent="0.35">
      <c r="B163" s="116"/>
      <c r="C163" s="141" t="s">
        <v>170</v>
      </c>
      <c r="E163" s="131">
        <v>223429</v>
      </c>
      <c r="F163" s="131">
        <v>351686</v>
      </c>
      <c r="G163" s="131">
        <v>515567</v>
      </c>
      <c r="H163" s="131">
        <v>521480</v>
      </c>
      <c r="I163" s="131">
        <v>490499</v>
      </c>
      <c r="J163" s="131">
        <v>412633</v>
      </c>
      <c r="K163" s="131"/>
    </row>
    <row r="164" spans="2:11" ht="13.15" x14ac:dyDescent="0.35">
      <c r="B164" s="116"/>
      <c r="C164" s="124" t="s">
        <v>171</v>
      </c>
      <c r="E164" s="132"/>
      <c r="F164" s="132"/>
      <c r="G164" s="132"/>
      <c r="H164" s="132"/>
      <c r="I164" s="132"/>
      <c r="J164" s="132"/>
      <c r="K164" s="132"/>
    </row>
    <row r="165" spans="2:11" ht="13.15" x14ac:dyDescent="0.35">
      <c r="B165" s="116"/>
      <c r="C165" s="124" t="s">
        <v>63</v>
      </c>
      <c r="E165" s="63"/>
      <c r="F165" s="63"/>
      <c r="G165" s="63"/>
      <c r="H165" s="63"/>
      <c r="I165" s="63"/>
      <c r="J165" s="63"/>
      <c r="K165" s="63"/>
    </row>
    <row r="166" spans="2:11" ht="13.15" x14ac:dyDescent="0.35">
      <c r="B166" s="116"/>
      <c r="C166" s="124" t="s">
        <v>238</v>
      </c>
      <c r="E166" s="63"/>
      <c r="F166" s="63"/>
      <c r="G166" s="63"/>
      <c r="H166" s="63"/>
      <c r="I166" s="63"/>
      <c r="J166" s="63"/>
      <c r="K166" s="63"/>
    </row>
    <row r="167" spans="2:11" ht="13.15" x14ac:dyDescent="0.35">
      <c r="B167" s="116"/>
      <c r="C167" s="124" t="s">
        <v>239</v>
      </c>
      <c r="E167" s="77"/>
      <c r="F167" s="77"/>
      <c r="G167" s="77"/>
      <c r="H167" s="77"/>
      <c r="I167" s="77"/>
      <c r="J167" s="77"/>
      <c r="K167" s="77"/>
    </row>
    <row r="168" spans="2:11" ht="13.5" thickBot="1" x14ac:dyDescent="0.4">
      <c r="B168" s="116"/>
      <c r="C168" s="133" t="s">
        <v>174</v>
      </c>
      <c r="E168" s="134">
        <v>25233</v>
      </c>
      <c r="F168" s="134">
        <v>36150</v>
      </c>
      <c r="G168" s="134"/>
      <c r="H168" s="134"/>
      <c r="I168" s="134"/>
      <c r="J168" s="134"/>
      <c r="K168" s="134"/>
    </row>
    <row r="170" spans="2:11" ht="13.15" x14ac:dyDescent="0.35">
      <c r="B170" s="114" t="s">
        <v>175</v>
      </c>
    </row>
    <row r="171" spans="2:11" ht="13.9" thickBot="1" x14ac:dyDescent="0.45">
      <c r="B171" s="116"/>
      <c r="C171" s="14"/>
    </row>
    <row r="172" spans="2:11" ht="13.5" x14ac:dyDescent="0.4">
      <c r="B172" s="117"/>
      <c r="C172" s="118" t="s">
        <v>240</v>
      </c>
      <c r="E172" s="62">
        <v>52270</v>
      </c>
      <c r="F172" s="62">
        <v>74614</v>
      </c>
      <c r="G172" s="62">
        <v>93102</v>
      </c>
      <c r="H172" s="62">
        <v>119202</v>
      </c>
      <c r="I172" s="62">
        <v>134153</v>
      </c>
      <c r="J172" s="62">
        <v>131119</v>
      </c>
      <c r="K172" s="62"/>
    </row>
    <row r="173" spans="2:11" ht="13.5" x14ac:dyDescent="0.4">
      <c r="B173" s="117"/>
      <c r="C173" s="141" t="s">
        <v>177</v>
      </c>
      <c r="E173" s="79">
        <v>32098</v>
      </c>
      <c r="F173" s="79">
        <v>44286</v>
      </c>
      <c r="G173" s="79">
        <v>53234</v>
      </c>
      <c r="H173" s="79">
        <v>70962</v>
      </c>
      <c r="I173" s="79">
        <v>85727</v>
      </c>
      <c r="J173" s="79">
        <v>84477</v>
      </c>
      <c r="K173" s="79"/>
    </row>
    <row r="174" spans="2:11" ht="13.15" x14ac:dyDescent="0.35">
      <c r="B174" s="99"/>
      <c r="C174" s="122" t="s">
        <v>130</v>
      </c>
      <c r="E174" s="67"/>
      <c r="F174" s="67"/>
      <c r="G174" s="67"/>
      <c r="H174" s="67"/>
      <c r="I174" s="67"/>
      <c r="J174" s="67"/>
      <c r="K174" s="67"/>
    </row>
    <row r="175" spans="2:11" ht="13.15" x14ac:dyDescent="0.35">
      <c r="B175" s="99"/>
      <c r="C175" s="124" t="s">
        <v>241</v>
      </c>
      <c r="E175" s="132"/>
      <c r="F175" s="132"/>
      <c r="G175" s="132"/>
      <c r="H175" s="132"/>
      <c r="I175" s="231"/>
      <c r="J175" s="231"/>
      <c r="K175" s="132"/>
    </row>
    <row r="176" spans="2:11" ht="13.15" x14ac:dyDescent="0.35">
      <c r="B176" s="116"/>
      <c r="C176" s="124" t="s">
        <v>150</v>
      </c>
      <c r="E176" s="63"/>
      <c r="F176" s="63"/>
      <c r="G176" s="63"/>
      <c r="H176" s="63"/>
      <c r="I176" s="229"/>
      <c r="J176" s="229"/>
      <c r="K176" s="63"/>
    </row>
    <row r="177" spans="2:11" ht="13.15" x14ac:dyDescent="0.35">
      <c r="B177" s="116"/>
      <c r="C177" s="125" t="s">
        <v>151</v>
      </c>
      <c r="E177" s="77"/>
      <c r="F177" s="77"/>
      <c r="G177" s="77"/>
      <c r="H177" s="77"/>
      <c r="I177" s="232"/>
      <c r="J177" s="232"/>
      <c r="K177" s="77"/>
    </row>
    <row r="178" spans="2:11" ht="13.15" x14ac:dyDescent="0.35">
      <c r="B178" s="116"/>
      <c r="C178" s="170" t="s">
        <v>152</v>
      </c>
      <c r="E178" s="127">
        <v>5580</v>
      </c>
      <c r="F178" s="127">
        <v>7678</v>
      </c>
      <c r="G178" s="127">
        <v>8206</v>
      </c>
      <c r="H178" s="127">
        <v>9186</v>
      </c>
      <c r="I178" s="249">
        <v>10594</v>
      </c>
      <c r="J178" s="249">
        <v>11497</v>
      </c>
      <c r="K178" s="127"/>
    </row>
    <row r="179" spans="2:11" ht="13.15" x14ac:dyDescent="0.35">
      <c r="B179" s="116"/>
      <c r="C179" s="124" t="s">
        <v>153</v>
      </c>
      <c r="E179" s="63"/>
      <c r="F179" s="63"/>
      <c r="G179" s="63"/>
      <c r="H179" s="63"/>
      <c r="I179" s="229"/>
      <c r="J179" s="229"/>
      <c r="K179" s="63"/>
    </row>
    <row r="180" spans="2:11" ht="13.15" x14ac:dyDescent="0.35">
      <c r="B180" s="116"/>
      <c r="C180" s="124" t="s">
        <v>154</v>
      </c>
      <c r="E180" s="63"/>
      <c r="F180" s="63"/>
      <c r="G180" s="63"/>
      <c r="H180" s="63"/>
      <c r="I180" s="229"/>
      <c r="J180" s="229"/>
      <c r="K180" s="63"/>
    </row>
    <row r="181" spans="2:11" ht="13.15" x14ac:dyDescent="0.35">
      <c r="B181" s="116"/>
      <c r="C181" s="128" t="s">
        <v>155</v>
      </c>
      <c r="E181" s="63"/>
      <c r="F181" s="63"/>
      <c r="G181" s="63"/>
      <c r="H181" s="63"/>
      <c r="I181" s="229"/>
      <c r="J181" s="229"/>
      <c r="K181" s="63"/>
    </row>
    <row r="182" spans="2:11" ht="13.15" x14ac:dyDescent="0.35">
      <c r="B182" s="116"/>
      <c r="C182" s="125" t="s">
        <v>156</v>
      </c>
      <c r="E182" s="129"/>
      <c r="F182" s="129"/>
      <c r="G182" s="129"/>
      <c r="H182" s="129"/>
      <c r="I182" s="235"/>
      <c r="J182" s="235"/>
      <c r="K182" s="129"/>
    </row>
    <row r="183" spans="2:11" ht="13.15" x14ac:dyDescent="0.35">
      <c r="B183" s="116"/>
      <c r="C183" s="170" t="s">
        <v>157</v>
      </c>
      <c r="E183" s="130">
        <v>1669</v>
      </c>
      <c r="F183" s="130">
        <v>2691</v>
      </c>
      <c r="G183" s="130">
        <v>3315</v>
      </c>
      <c r="H183" s="130">
        <v>3885</v>
      </c>
      <c r="I183" s="250">
        <v>4206</v>
      </c>
      <c r="J183" s="250">
        <v>4240</v>
      </c>
      <c r="K183" s="130"/>
    </row>
    <row r="184" spans="2:11" ht="13.15" x14ac:dyDescent="0.35">
      <c r="B184" s="116"/>
      <c r="C184" s="141" t="s">
        <v>158</v>
      </c>
      <c r="E184" s="131">
        <v>9442</v>
      </c>
      <c r="F184" s="131">
        <v>12607</v>
      </c>
      <c r="G184" s="131">
        <v>28118</v>
      </c>
      <c r="H184" s="131">
        <v>34723</v>
      </c>
      <c r="I184" s="251">
        <v>30750</v>
      </c>
      <c r="J184" s="251">
        <v>27382</v>
      </c>
      <c r="K184" s="131"/>
    </row>
    <row r="185" spans="2:11" ht="13.15" x14ac:dyDescent="0.35">
      <c r="B185" s="116"/>
      <c r="C185" s="124" t="s">
        <v>159</v>
      </c>
      <c r="E185" s="132"/>
      <c r="F185" s="132"/>
      <c r="G185" s="132"/>
      <c r="H185" s="132"/>
      <c r="I185" s="231"/>
      <c r="J185" s="231"/>
      <c r="K185" s="132"/>
    </row>
    <row r="186" spans="2:11" ht="13.15" x14ac:dyDescent="0.35">
      <c r="B186" s="116"/>
      <c r="C186" s="124" t="s">
        <v>42</v>
      </c>
      <c r="E186" s="63"/>
      <c r="F186" s="63"/>
      <c r="G186" s="63"/>
      <c r="H186" s="63"/>
      <c r="I186" s="229"/>
      <c r="J186" s="229"/>
      <c r="K186" s="63"/>
    </row>
    <row r="187" spans="2:11" ht="13.15" x14ac:dyDescent="0.35">
      <c r="B187" s="116"/>
      <c r="C187" s="125" t="s">
        <v>160</v>
      </c>
      <c r="E187" s="77"/>
      <c r="F187" s="77"/>
      <c r="G187" s="77"/>
      <c r="H187" s="77"/>
      <c r="I187" s="232"/>
      <c r="J187" s="232"/>
      <c r="K187" s="77"/>
    </row>
    <row r="188" spans="2:11" ht="13.5" thickBot="1" x14ac:dyDescent="0.4">
      <c r="B188" s="116"/>
      <c r="C188" s="133" t="s">
        <v>180</v>
      </c>
      <c r="E188" s="134">
        <v>3481</v>
      </c>
      <c r="F188" s="134">
        <v>7352</v>
      </c>
      <c r="G188" s="134">
        <v>229</v>
      </c>
      <c r="H188" s="134">
        <v>446</v>
      </c>
      <c r="I188" s="134">
        <v>2876</v>
      </c>
      <c r="J188" s="134">
        <v>3523</v>
      </c>
      <c r="K188" s="134"/>
    </row>
    <row r="189" spans="2:11" s="58" customFormat="1" ht="13.15" x14ac:dyDescent="0.35">
      <c r="B189" s="150"/>
      <c r="C189" s="57" t="s">
        <v>91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</row>
    <row r="190" spans="2:11" ht="13.15" x14ac:dyDescent="0.35">
      <c r="B190" s="116"/>
      <c r="C190" s="114"/>
    </row>
    <row r="191" spans="2:11" ht="13.15" thickBot="1" x14ac:dyDescent="0.4">
      <c r="B191" s="135"/>
      <c r="C191" s="136"/>
    </row>
    <row r="192" spans="2:11" ht="13.5" x14ac:dyDescent="0.4">
      <c r="B192" s="116"/>
      <c r="C192" s="137" t="s">
        <v>242</v>
      </c>
      <c r="E192" s="62">
        <v>26980</v>
      </c>
      <c r="F192" s="62">
        <v>41578</v>
      </c>
      <c r="G192" s="62">
        <v>52414</v>
      </c>
      <c r="H192" s="62">
        <v>66156</v>
      </c>
      <c r="I192" s="62">
        <v>65692</v>
      </c>
      <c r="J192" s="62">
        <v>54708</v>
      </c>
      <c r="K192" s="62">
        <v>16176</v>
      </c>
    </row>
    <row r="193" spans="2:11" ht="13.15" x14ac:dyDescent="0.35">
      <c r="B193" s="116"/>
      <c r="C193" s="141" t="s">
        <v>163</v>
      </c>
      <c r="E193" s="255">
        <v>15203</v>
      </c>
      <c r="F193" s="255">
        <v>23121</v>
      </c>
      <c r="G193" s="255">
        <v>27253</v>
      </c>
      <c r="H193" s="255">
        <v>37551</v>
      </c>
      <c r="I193" s="255">
        <v>42763</v>
      </c>
      <c r="J193" s="255">
        <v>35895</v>
      </c>
      <c r="K193" s="255">
        <v>8427</v>
      </c>
    </row>
    <row r="194" spans="2:11" ht="13.15" x14ac:dyDescent="0.35">
      <c r="B194" s="116"/>
      <c r="C194" s="124" t="s">
        <v>138</v>
      </c>
      <c r="E194" s="24">
        <v>1761</v>
      </c>
      <c r="F194" s="24">
        <v>1744</v>
      </c>
      <c r="G194" s="24">
        <v>2083</v>
      </c>
      <c r="H194" s="24">
        <v>2400</v>
      </c>
      <c r="I194" s="24">
        <v>2398</v>
      </c>
      <c r="J194" s="24">
        <v>3084</v>
      </c>
      <c r="K194" s="24">
        <v>891</v>
      </c>
    </row>
    <row r="195" spans="2:11" ht="13.15" x14ac:dyDescent="0.35">
      <c r="B195" s="116"/>
      <c r="C195" s="124" t="s">
        <v>164</v>
      </c>
      <c r="E195" s="63">
        <v>1522</v>
      </c>
      <c r="F195" s="63">
        <v>1489</v>
      </c>
      <c r="G195" s="63">
        <v>1829</v>
      </c>
      <c r="H195" s="63">
        <v>2007</v>
      </c>
      <c r="I195" s="229">
        <v>2013</v>
      </c>
      <c r="J195" s="229">
        <v>2678</v>
      </c>
      <c r="K195" s="63">
        <v>793</v>
      </c>
    </row>
    <row r="196" spans="2:11" ht="13.15" x14ac:dyDescent="0.35">
      <c r="B196" s="116"/>
      <c r="C196" s="124" t="s">
        <v>165</v>
      </c>
      <c r="E196" s="63">
        <v>239</v>
      </c>
      <c r="F196" s="63">
        <v>255</v>
      </c>
      <c r="G196" s="63">
        <v>254</v>
      </c>
      <c r="H196" s="63">
        <v>393</v>
      </c>
      <c r="I196" s="229">
        <v>385</v>
      </c>
      <c r="J196" s="229">
        <v>406</v>
      </c>
      <c r="K196" s="63">
        <v>98</v>
      </c>
    </row>
    <row r="197" spans="2:11" ht="13.15" x14ac:dyDescent="0.35">
      <c r="B197" s="116"/>
      <c r="C197" s="124" t="s">
        <v>141</v>
      </c>
      <c r="E197" s="24">
        <v>11460</v>
      </c>
      <c r="F197" s="24">
        <v>16114</v>
      </c>
      <c r="G197" s="24">
        <v>20624</v>
      </c>
      <c r="H197" s="24">
        <v>28350</v>
      </c>
      <c r="I197" s="24">
        <v>32631</v>
      </c>
      <c r="J197" s="24">
        <v>26700</v>
      </c>
      <c r="K197" s="24">
        <v>6209</v>
      </c>
    </row>
    <row r="198" spans="2:11" ht="13.15" x14ac:dyDescent="0.35">
      <c r="B198" s="116"/>
      <c r="C198" s="124" t="s">
        <v>166</v>
      </c>
      <c r="E198" s="63">
        <v>9185</v>
      </c>
      <c r="F198" s="63">
        <v>12224</v>
      </c>
      <c r="G198" s="63">
        <v>16176</v>
      </c>
      <c r="H198" s="63">
        <v>23038</v>
      </c>
      <c r="I198" s="229">
        <v>27316</v>
      </c>
      <c r="J198" s="229">
        <v>23034</v>
      </c>
      <c r="K198" s="63">
        <v>5388</v>
      </c>
    </row>
    <row r="199" spans="2:11" ht="13.15" x14ac:dyDescent="0.35">
      <c r="B199" s="116"/>
      <c r="C199" s="124" t="s">
        <v>167</v>
      </c>
      <c r="E199" s="63">
        <v>2275</v>
      </c>
      <c r="F199" s="63">
        <v>3890</v>
      </c>
      <c r="G199" s="63">
        <v>4448</v>
      </c>
      <c r="H199" s="63">
        <v>5312</v>
      </c>
      <c r="I199" s="229">
        <v>5315</v>
      </c>
      <c r="J199" s="229">
        <v>3666</v>
      </c>
      <c r="K199" s="63">
        <v>821</v>
      </c>
    </row>
    <row r="200" spans="2:11" ht="13.15" x14ac:dyDescent="0.35">
      <c r="B200" s="116"/>
      <c r="C200" s="125" t="s">
        <v>237</v>
      </c>
      <c r="E200" s="63">
        <v>1982</v>
      </c>
      <c r="F200" s="63">
        <v>5263</v>
      </c>
      <c r="G200" s="63">
        <v>4546</v>
      </c>
      <c r="H200" s="63">
        <v>6801</v>
      </c>
      <c r="I200" s="229">
        <v>7734</v>
      </c>
      <c r="J200" s="229">
        <v>6111</v>
      </c>
      <c r="K200" s="63">
        <v>1327</v>
      </c>
    </row>
    <row r="201" spans="2:11" ht="13.15" x14ac:dyDescent="0.35">
      <c r="B201" s="116"/>
      <c r="C201" s="170" t="s">
        <v>169</v>
      </c>
      <c r="E201" s="131">
        <v>837</v>
      </c>
      <c r="F201" s="131">
        <v>1001</v>
      </c>
      <c r="G201" s="131">
        <v>672</v>
      </c>
      <c r="H201" s="131">
        <v>1657</v>
      </c>
      <c r="I201" s="251">
        <v>5486</v>
      </c>
      <c r="J201" s="251">
        <v>9334</v>
      </c>
      <c r="K201" s="131">
        <v>3243</v>
      </c>
    </row>
    <row r="202" spans="2:11" ht="13.15" x14ac:dyDescent="0.35">
      <c r="B202" s="116"/>
      <c r="C202" s="141" t="s">
        <v>170</v>
      </c>
      <c r="E202" s="131">
        <v>9315</v>
      </c>
      <c r="F202" s="131">
        <v>15161</v>
      </c>
      <c r="G202" s="131">
        <v>24489</v>
      </c>
      <c r="H202" s="131">
        <v>26948</v>
      </c>
      <c r="I202" s="251">
        <v>17443</v>
      </c>
      <c r="J202" s="251">
        <v>9479</v>
      </c>
      <c r="K202" s="131">
        <v>4506</v>
      </c>
    </row>
    <row r="203" spans="2:11" ht="13.15" x14ac:dyDescent="0.35">
      <c r="B203" s="116"/>
      <c r="C203" s="124" t="s">
        <v>171</v>
      </c>
      <c r="E203" s="132"/>
      <c r="F203" s="132"/>
      <c r="G203" s="132"/>
      <c r="H203" s="132"/>
      <c r="I203" s="231"/>
      <c r="J203" s="231"/>
      <c r="K203" s="132"/>
    </row>
    <row r="204" spans="2:11" ht="13.15" x14ac:dyDescent="0.35">
      <c r="B204" s="116"/>
      <c r="C204" s="124" t="s">
        <v>63</v>
      </c>
      <c r="E204" s="63"/>
      <c r="F204" s="63"/>
      <c r="G204" s="63"/>
      <c r="H204" s="63"/>
      <c r="I204" s="229"/>
      <c r="J204" s="229"/>
      <c r="K204" s="63"/>
    </row>
    <row r="205" spans="2:11" ht="13.15" x14ac:dyDescent="0.35">
      <c r="B205" s="116"/>
      <c r="C205" s="124" t="s">
        <v>238</v>
      </c>
      <c r="E205" s="63"/>
      <c r="F205" s="63"/>
      <c r="G205" s="63"/>
      <c r="H205" s="63"/>
      <c r="I205" s="229"/>
      <c r="J205" s="229"/>
      <c r="K205" s="63"/>
    </row>
    <row r="206" spans="2:11" ht="13.15" x14ac:dyDescent="0.35">
      <c r="B206" s="116"/>
      <c r="C206" s="124" t="s">
        <v>239</v>
      </c>
      <c r="E206" s="77"/>
      <c r="F206" s="77"/>
      <c r="G206" s="77"/>
      <c r="H206" s="77"/>
      <c r="I206" s="232"/>
      <c r="J206" s="232"/>
      <c r="K206" s="77"/>
    </row>
    <row r="207" spans="2:11" ht="13.5" thickBot="1" x14ac:dyDescent="0.4">
      <c r="B207" s="116"/>
      <c r="C207" s="133" t="s">
        <v>182</v>
      </c>
      <c r="E207" s="158">
        <v>1625</v>
      </c>
      <c r="F207" s="158">
        <v>2295</v>
      </c>
      <c r="G207" s="158"/>
      <c r="H207" s="158"/>
      <c r="I207" s="158"/>
      <c r="J207" s="158"/>
      <c r="K207" s="158"/>
    </row>
    <row r="208" spans="2:11" s="160" customFormat="1" ht="13.15" x14ac:dyDescent="0.35">
      <c r="B208" s="159"/>
      <c r="C208" s="57" t="s">
        <v>91</v>
      </c>
      <c r="E208" s="59">
        <v>0</v>
      </c>
      <c r="F208" s="59">
        <v>0</v>
      </c>
      <c r="G208" s="59">
        <v>0</v>
      </c>
      <c r="H208" s="59">
        <v>0</v>
      </c>
      <c r="I208" s="59">
        <v>0</v>
      </c>
      <c r="J208" s="59">
        <v>0</v>
      </c>
      <c r="K208" s="59">
        <v>0</v>
      </c>
    </row>
    <row r="209" spans="2:11" s="38" customFormat="1" ht="13.15" x14ac:dyDescent="0.35">
      <c r="B209" s="153"/>
      <c r="C209" s="161"/>
      <c r="E209" s="162"/>
      <c r="F209" s="162"/>
      <c r="G209" s="162"/>
      <c r="H209" s="162"/>
      <c r="I209" s="162"/>
      <c r="J209" s="162"/>
      <c r="K209" s="162"/>
    </row>
    <row r="211" spans="2:11" ht="13.15" x14ac:dyDescent="0.35">
      <c r="B211" s="114" t="s">
        <v>183</v>
      </c>
    </row>
    <row r="212" spans="2:11" ht="13.9" thickBot="1" x14ac:dyDescent="0.45">
      <c r="B212" s="116"/>
      <c r="C212" s="14"/>
      <c r="E212" s="256">
        <v>4.6183071213995404E-2</v>
      </c>
      <c r="F212" s="256">
        <v>5.3485434763597163E-2</v>
      </c>
      <c r="G212" s="256">
        <v>5.2827186748888443E-2</v>
      </c>
      <c r="H212" s="256">
        <v>5.7736263044325886E-2</v>
      </c>
      <c r="I212" s="256">
        <v>5.4980940503469071E-2</v>
      </c>
      <c r="J212" s="256">
        <v>4.7257293634308944E-2</v>
      </c>
    </row>
    <row r="213" spans="2:11" ht="13.15" x14ac:dyDescent="0.35">
      <c r="B213" s="117"/>
      <c r="C213" s="118" t="s">
        <v>184</v>
      </c>
      <c r="E213" s="163">
        <v>5.2699999999999997E-2</v>
      </c>
      <c r="F213" s="163">
        <v>5.3499999999999999E-2</v>
      </c>
      <c r="G213" s="163">
        <v>5.28E-2</v>
      </c>
      <c r="H213" s="164">
        <v>5.7736263044325886E-2</v>
      </c>
      <c r="I213" s="164">
        <v>5.4980940503469071E-2</v>
      </c>
      <c r="J213" s="164">
        <v>4.7257293634308944E-2</v>
      </c>
      <c r="K213" s="164"/>
    </row>
    <row r="214" spans="2:11" ht="13.15" x14ac:dyDescent="0.35">
      <c r="B214" s="117"/>
      <c r="C214" s="141" t="s">
        <v>177</v>
      </c>
      <c r="E214" s="165">
        <v>5.5704998490144285E-2</v>
      </c>
      <c r="F214" s="165">
        <v>6.8672602599529217E-2</v>
      </c>
      <c r="G214" s="165">
        <v>6.8555547971755643E-2</v>
      </c>
      <c r="H214" s="165">
        <v>7.6564698367759143E-2</v>
      </c>
      <c r="I214" s="165">
        <v>7.4627827151272669E-2</v>
      </c>
      <c r="J214" s="165">
        <v>6.4000927319093223E-2</v>
      </c>
      <c r="K214" s="165"/>
    </row>
    <row r="215" spans="2:11" ht="13.15" x14ac:dyDescent="0.35">
      <c r="B215" s="99"/>
      <c r="C215" s="122" t="s">
        <v>130</v>
      </c>
      <c r="E215" s="166"/>
      <c r="F215" s="166"/>
      <c r="G215" s="166"/>
      <c r="H215" s="167"/>
      <c r="I215" s="166"/>
      <c r="J215" s="165"/>
      <c r="K215" s="166"/>
    </row>
    <row r="216" spans="2:11" ht="13.15" x14ac:dyDescent="0.35">
      <c r="B216" s="99"/>
      <c r="C216" s="124" t="s">
        <v>131</v>
      </c>
      <c r="E216" s="165" t="e">
        <v>#DIV/0!</v>
      </c>
      <c r="F216" s="165" t="e">
        <v>#DIV/0!</v>
      </c>
      <c r="G216" s="165" t="e">
        <v>#DIV/0!</v>
      </c>
      <c r="H216" s="165" t="e">
        <v>#DIV/0!</v>
      </c>
      <c r="I216" s="165" t="e">
        <v>#DIV/0!</v>
      </c>
      <c r="J216" s="165" t="e">
        <v>#DIV/0!</v>
      </c>
      <c r="K216" s="168"/>
    </row>
    <row r="217" spans="2:11" ht="13.15" x14ac:dyDescent="0.35">
      <c r="B217" s="116"/>
      <c r="C217" s="124" t="s">
        <v>150</v>
      </c>
      <c r="E217" s="165" t="e">
        <v>#DIV/0!</v>
      </c>
      <c r="F217" s="165" t="e">
        <v>#DIV/0!</v>
      </c>
      <c r="G217" s="165" t="e">
        <v>#DIV/0!</v>
      </c>
      <c r="H217" s="165" t="e">
        <v>#DIV/0!</v>
      </c>
      <c r="I217" s="165" t="e">
        <v>#DIV/0!</v>
      </c>
      <c r="J217" s="165" t="e">
        <v>#DIV/0!</v>
      </c>
      <c r="K217" s="168"/>
    </row>
    <row r="218" spans="2:11" ht="13.15" x14ac:dyDescent="0.35">
      <c r="B218" s="116"/>
      <c r="C218" s="125" t="s">
        <v>151</v>
      </c>
      <c r="E218" s="165" t="e">
        <v>#DIV/0!</v>
      </c>
      <c r="F218" s="165" t="e">
        <v>#DIV/0!</v>
      </c>
      <c r="G218" s="165" t="e">
        <v>#DIV/0!</v>
      </c>
      <c r="H218" s="165" t="e">
        <v>#DIV/0!</v>
      </c>
      <c r="I218" s="165" t="e">
        <v>#DIV/0!</v>
      </c>
      <c r="J218" s="165" t="e">
        <v>#DIV/0!</v>
      </c>
      <c r="K218" s="169"/>
    </row>
    <row r="219" spans="2:11" s="34" customFormat="1" ht="13.5" x14ac:dyDescent="0.4">
      <c r="B219" s="116"/>
      <c r="C219" s="170" t="s">
        <v>152</v>
      </c>
      <c r="D219" s="17"/>
      <c r="E219" s="166">
        <v>3.1567870922483338E-2</v>
      </c>
      <c r="F219" s="166">
        <v>3.9392742254077545E-2</v>
      </c>
      <c r="G219" s="166">
        <v>3.9903135454757648E-2</v>
      </c>
      <c r="H219" s="167">
        <v>4.1432501916918496E-2</v>
      </c>
      <c r="I219" s="167">
        <v>3.7600576395469758E-2</v>
      </c>
      <c r="J219" s="167">
        <v>3.3252061442706211E-2</v>
      </c>
      <c r="K219" s="167"/>
    </row>
    <row r="220" spans="2:11" ht="13.15" x14ac:dyDescent="0.35">
      <c r="B220" s="116"/>
      <c r="C220" s="124" t="s">
        <v>153</v>
      </c>
      <c r="E220" s="168"/>
      <c r="F220" s="168"/>
      <c r="G220" s="168"/>
      <c r="H220" s="168"/>
      <c r="I220" s="168"/>
      <c r="J220" s="168"/>
      <c r="K220" s="168"/>
    </row>
    <row r="221" spans="2:11" ht="13.15" x14ac:dyDescent="0.35">
      <c r="B221" s="116"/>
      <c r="C221" s="124" t="s">
        <v>154</v>
      </c>
      <c r="E221" s="168"/>
      <c r="F221" s="168"/>
      <c r="G221" s="168"/>
      <c r="H221" s="168"/>
      <c r="I221" s="168"/>
      <c r="J221" s="168"/>
      <c r="K221" s="168"/>
    </row>
    <row r="222" spans="2:11" ht="13.15" x14ac:dyDescent="0.35">
      <c r="B222" s="116"/>
      <c r="C222" s="128" t="s">
        <v>155</v>
      </c>
      <c r="E222" s="168"/>
      <c r="F222" s="168"/>
      <c r="G222" s="168"/>
      <c r="H222" s="168"/>
      <c r="I222" s="168"/>
      <c r="J222" s="168"/>
      <c r="K222" s="168"/>
    </row>
    <row r="223" spans="2:11" ht="13.15" x14ac:dyDescent="0.35">
      <c r="B223" s="116"/>
      <c r="C223" s="125" t="s">
        <v>156</v>
      </c>
      <c r="E223" s="169"/>
      <c r="F223" s="169"/>
      <c r="G223" s="169"/>
      <c r="H223" s="169"/>
      <c r="I223" s="169"/>
      <c r="J223" s="169"/>
      <c r="K223" s="169"/>
    </row>
    <row r="224" spans="2:11" ht="13.15" x14ac:dyDescent="0.35">
      <c r="B224" s="116"/>
      <c r="C224" s="170" t="s">
        <v>157</v>
      </c>
      <c r="E224" s="167">
        <v>1.2923458128460259E-2</v>
      </c>
      <c r="F224" s="167">
        <v>1.5116958407298384E-2</v>
      </c>
      <c r="G224" s="167">
        <v>1.4651933701657458E-2</v>
      </c>
      <c r="H224" s="167">
        <v>1.4746855142989455E-2</v>
      </c>
      <c r="I224" s="167">
        <v>1.4629819649037375E-2</v>
      </c>
      <c r="J224" s="167">
        <v>1.4575655904515704E-2</v>
      </c>
      <c r="K224" s="171"/>
    </row>
    <row r="225" spans="2:11" ht="13.15" x14ac:dyDescent="0.35">
      <c r="B225" s="116"/>
      <c r="C225" s="141" t="s">
        <v>158</v>
      </c>
      <c r="E225" s="167">
        <v>4.9677480454158027E-2</v>
      </c>
      <c r="F225" s="167">
        <v>4.94239039670063E-2</v>
      </c>
      <c r="G225" s="167">
        <v>5.1147722291042509E-2</v>
      </c>
      <c r="H225" s="167">
        <v>5.3783576980387417E-2</v>
      </c>
      <c r="I225" s="167">
        <v>4.6342904336188762E-2</v>
      </c>
      <c r="J225" s="167">
        <v>3.7197790031231366E-2</v>
      </c>
      <c r="K225" s="165"/>
    </row>
    <row r="226" spans="2:11" ht="13.15" x14ac:dyDescent="0.35">
      <c r="B226" s="150"/>
      <c r="C226" s="124" t="s">
        <v>159</v>
      </c>
      <c r="E226" s="166"/>
      <c r="F226" s="166"/>
      <c r="G226" s="166"/>
      <c r="H226" s="166"/>
      <c r="I226" s="166"/>
      <c r="J226" s="166"/>
      <c r="K226" s="166"/>
    </row>
    <row r="227" spans="2:11" ht="13.15" x14ac:dyDescent="0.35">
      <c r="B227" s="116"/>
      <c r="C227" s="124" t="s">
        <v>42</v>
      </c>
      <c r="E227" s="168"/>
      <c r="F227" s="168"/>
      <c r="G227" s="168"/>
      <c r="H227" s="168"/>
      <c r="I227" s="168"/>
      <c r="J227" s="168"/>
      <c r="K227" s="168"/>
    </row>
    <row r="228" spans="2:11" ht="13.15" x14ac:dyDescent="0.35">
      <c r="B228" s="116"/>
      <c r="C228" s="125" t="s">
        <v>160</v>
      </c>
      <c r="E228" s="169"/>
      <c r="F228" s="169"/>
      <c r="G228" s="169"/>
      <c r="H228" s="169"/>
      <c r="I228" s="169"/>
      <c r="J228" s="169"/>
      <c r="K228" s="169"/>
    </row>
    <row r="229" spans="2:11" ht="13.5" thickBot="1" x14ac:dyDescent="0.4">
      <c r="B229" s="116"/>
      <c r="C229" s="133" t="s">
        <v>185</v>
      </c>
      <c r="E229" s="172">
        <v>5.8393303474074447E-2</v>
      </c>
      <c r="F229" s="172">
        <v>6.0189278580083175E-2</v>
      </c>
      <c r="G229" s="172">
        <v>5.4009433962264153E-2</v>
      </c>
      <c r="H229" s="172">
        <v>6.3632472535311749E-2</v>
      </c>
      <c r="I229" s="172">
        <v>4.9174161337756046E-2</v>
      </c>
      <c r="J229" s="172">
        <v>4.3029007633587787E-2</v>
      </c>
      <c r="K229" s="172"/>
    </row>
    <row r="230" spans="2:11" ht="13.15" x14ac:dyDescent="0.35">
      <c r="B230" s="116"/>
      <c r="C230" s="114"/>
    </row>
    <row r="231" spans="2:11" ht="13.15" thickBot="1" x14ac:dyDescent="0.4">
      <c r="B231" s="135"/>
      <c r="C231" s="136"/>
      <c r="E231" s="17">
        <v>-3.6985251434578613E-3</v>
      </c>
      <c r="F231" s="17">
        <v>-5.006808676204233E-6</v>
      </c>
      <c r="G231" s="17">
        <v>1.9512899839882469E-5</v>
      </c>
      <c r="H231" s="17">
        <v>-1.3229527404491626E-5</v>
      </c>
      <c r="I231" s="17">
        <v>-1.5455983861163702E-5</v>
      </c>
      <c r="J231" s="17">
        <v>-3.0666981837013108E-5</v>
      </c>
    </row>
    <row r="232" spans="2:11" ht="13.15" x14ac:dyDescent="0.35">
      <c r="B232" s="116"/>
      <c r="C232" s="141" t="s">
        <v>186</v>
      </c>
      <c r="E232" s="164">
        <v>2.8999999999999998E-2</v>
      </c>
      <c r="F232" s="164">
        <v>3.1600000000000003E-2</v>
      </c>
      <c r="G232" s="164">
        <v>3.1400000000000004E-2</v>
      </c>
      <c r="H232" s="164">
        <v>3.3700000000000001E-2</v>
      </c>
      <c r="I232" s="164">
        <v>2.8799999999999999E-2</v>
      </c>
      <c r="J232" s="164">
        <v>2.1299999999999999E-2</v>
      </c>
      <c r="K232" s="164"/>
    </row>
    <row r="233" spans="2:11" ht="13.15" x14ac:dyDescent="0.35">
      <c r="B233" s="116"/>
      <c r="C233" s="141" t="s">
        <v>163</v>
      </c>
      <c r="E233" s="165">
        <v>-1.8938884321199889E-2</v>
      </c>
      <c r="F233" s="165">
        <v>-2.5351278747841342E-2</v>
      </c>
      <c r="G233" s="165">
        <v>-2.3867993435053799E-2</v>
      </c>
      <c r="H233" s="165">
        <v>-2.654418729588735E-2</v>
      </c>
      <c r="I233" s="165">
        <v>-2.5673568705899163E-2</v>
      </c>
      <c r="J233" s="165">
        <v>-1.9112238008727897E-2</v>
      </c>
      <c r="K233" s="165"/>
    </row>
    <row r="234" spans="2:11" ht="13.15" x14ac:dyDescent="0.35">
      <c r="B234" s="116"/>
      <c r="C234" s="124" t="s">
        <v>138</v>
      </c>
      <c r="E234" s="166"/>
      <c r="F234" s="166"/>
      <c r="G234" s="166"/>
      <c r="H234" s="166"/>
      <c r="I234" s="166"/>
      <c r="J234" s="166"/>
      <c r="K234" s="166"/>
    </row>
    <row r="235" spans="2:11" ht="13.15" x14ac:dyDescent="0.35">
      <c r="B235" s="116"/>
      <c r="C235" s="124" t="s">
        <v>164</v>
      </c>
      <c r="E235" s="168" t="e">
        <v>#DIV/0!</v>
      </c>
      <c r="F235" s="168" t="e">
        <v>#DIV/0!</v>
      </c>
      <c r="G235" s="168" t="e">
        <v>#DIV/0!</v>
      </c>
      <c r="H235" s="168" t="e">
        <v>#DIV/0!</v>
      </c>
      <c r="I235" s="168" t="e">
        <v>#DIV/0!</v>
      </c>
      <c r="J235" s="168" t="e">
        <v>#DIV/0!</v>
      </c>
      <c r="K235" s="168"/>
    </row>
    <row r="236" spans="2:11" ht="13.15" x14ac:dyDescent="0.35">
      <c r="B236" s="116"/>
      <c r="C236" s="124" t="s">
        <v>165</v>
      </c>
      <c r="E236" s="168" t="e">
        <v>#DIV/0!</v>
      </c>
      <c r="F236" s="168" t="e">
        <v>#DIV/0!</v>
      </c>
      <c r="G236" s="168" t="e">
        <v>#DIV/0!</v>
      </c>
      <c r="H236" s="168" t="e">
        <v>#DIV/0!</v>
      </c>
      <c r="I236" s="168" t="e">
        <v>#DIV/0!</v>
      </c>
      <c r="J236" s="168" t="e">
        <v>#DIV/0!</v>
      </c>
      <c r="K236" s="168"/>
    </row>
    <row r="237" spans="2:11" ht="13.15" x14ac:dyDescent="0.35">
      <c r="B237" s="116"/>
      <c r="C237" s="124" t="s">
        <v>141</v>
      </c>
      <c r="E237" s="168"/>
      <c r="F237" s="168"/>
      <c r="G237" s="168"/>
      <c r="H237" s="168"/>
      <c r="I237" s="168"/>
      <c r="J237" s="168"/>
      <c r="K237" s="168"/>
    </row>
    <row r="238" spans="2:11" ht="13.15" x14ac:dyDescent="0.35">
      <c r="B238" s="116"/>
      <c r="C238" s="124" t="s">
        <v>166</v>
      </c>
      <c r="E238" s="168" t="e">
        <v>#DIV/0!</v>
      </c>
      <c r="F238" s="168" t="e">
        <v>#DIV/0!</v>
      </c>
      <c r="G238" s="168" t="e">
        <v>#DIV/0!</v>
      </c>
      <c r="H238" s="168" t="e">
        <v>#DIV/0!</v>
      </c>
      <c r="I238" s="168" t="e">
        <v>#DIV/0!</v>
      </c>
      <c r="J238" s="168" t="e">
        <v>#DIV/0!</v>
      </c>
      <c r="K238" s="168"/>
    </row>
    <row r="239" spans="2:11" ht="13.15" x14ac:dyDescent="0.35">
      <c r="B239" s="116"/>
      <c r="C239" s="124" t="s">
        <v>167</v>
      </c>
      <c r="E239" s="168" t="e">
        <v>#DIV/0!</v>
      </c>
      <c r="F239" s="168" t="e">
        <v>#DIV/0!</v>
      </c>
      <c r="G239" s="168" t="e">
        <v>#DIV/0!</v>
      </c>
      <c r="H239" s="168" t="e">
        <v>#DIV/0!</v>
      </c>
      <c r="I239" s="168" t="e">
        <v>#DIV/0!</v>
      </c>
      <c r="J239" s="168" t="e">
        <v>#DIV/0!</v>
      </c>
      <c r="K239" s="168"/>
    </row>
    <row r="240" spans="2:11" ht="13.15" x14ac:dyDescent="0.35">
      <c r="B240" s="116"/>
      <c r="C240" s="125" t="s">
        <v>142</v>
      </c>
      <c r="E240" s="169"/>
      <c r="F240" s="169"/>
      <c r="G240" s="169"/>
      <c r="H240" s="169"/>
      <c r="I240" s="169"/>
      <c r="J240" s="169"/>
      <c r="K240" s="169"/>
    </row>
    <row r="241" spans="2:11" ht="13.15" x14ac:dyDescent="0.35">
      <c r="B241" s="116"/>
      <c r="C241" s="170" t="s">
        <v>169</v>
      </c>
      <c r="E241" s="165">
        <v>-5.602784657607604E-2</v>
      </c>
      <c r="F241" s="165">
        <v>-6.2146892655367235E-2</v>
      </c>
      <c r="G241" s="165">
        <v>-6.2164662349676228E-2</v>
      </c>
      <c r="H241" s="165">
        <v>-5.9782804776851751E-2</v>
      </c>
      <c r="I241" s="165">
        <v>-4.3520685415096586E-2</v>
      </c>
      <c r="J241" s="165">
        <v>-3.3169275599225313E-2</v>
      </c>
      <c r="K241" s="165"/>
    </row>
    <row r="242" spans="2:11" ht="13.15" x14ac:dyDescent="0.35">
      <c r="B242" s="116"/>
      <c r="C242" s="141" t="s">
        <v>170</v>
      </c>
      <c r="E242" s="165">
        <v>-4.1691096500454286E-2</v>
      </c>
      <c r="F242" s="165">
        <v>-4.3109478341475063E-2</v>
      </c>
      <c r="G242" s="165">
        <v>-4.7499161117759668E-2</v>
      </c>
      <c r="H242" s="165">
        <v>-5.1675999079542838E-2</v>
      </c>
      <c r="I242" s="165">
        <v>-3.5561744264514299E-2</v>
      </c>
      <c r="J242" s="165">
        <v>-2.2971987213819545E-2</v>
      </c>
      <c r="K242" s="165"/>
    </row>
    <row r="243" spans="2:11" ht="13.15" x14ac:dyDescent="0.35">
      <c r="B243" s="116"/>
      <c r="C243" s="124" t="s">
        <v>171</v>
      </c>
      <c r="E243" s="166"/>
      <c r="F243" s="166"/>
      <c r="G243" s="166"/>
      <c r="H243" s="166"/>
      <c r="I243" s="166"/>
      <c r="J243" s="166"/>
      <c r="K243" s="166"/>
    </row>
    <row r="244" spans="2:11" ht="13.15" x14ac:dyDescent="0.35">
      <c r="B244" s="116"/>
      <c r="C244" s="124" t="s">
        <v>63</v>
      </c>
      <c r="E244" s="168"/>
      <c r="F244" s="168"/>
      <c r="G244" s="168"/>
      <c r="H244" s="168"/>
      <c r="I244" s="168"/>
      <c r="J244" s="168"/>
      <c r="K244" s="168"/>
    </row>
    <row r="245" spans="2:11" ht="13.15" x14ac:dyDescent="0.35">
      <c r="B245" s="116"/>
      <c r="C245" s="124" t="s">
        <v>238</v>
      </c>
      <c r="E245" s="168"/>
      <c r="F245" s="168"/>
      <c r="G245" s="168"/>
      <c r="H245" s="168"/>
      <c r="I245" s="168"/>
      <c r="J245" s="168"/>
      <c r="K245" s="168"/>
    </row>
    <row r="246" spans="2:11" ht="13.15" x14ac:dyDescent="0.35">
      <c r="B246" s="116"/>
      <c r="C246" s="124" t="s">
        <v>239</v>
      </c>
      <c r="E246" s="169"/>
      <c r="F246" s="169"/>
      <c r="G246" s="169"/>
      <c r="H246" s="169" t="e">
        <v>#DIV/0!</v>
      </c>
      <c r="I246" s="169" t="e">
        <v>#DIV/0!</v>
      </c>
      <c r="J246" s="169" t="e">
        <v>#DIV/0!</v>
      </c>
      <c r="K246" s="169"/>
    </row>
    <row r="247" spans="2:11" ht="13.5" thickBot="1" x14ac:dyDescent="0.4">
      <c r="B247" s="116"/>
      <c r="C247" s="133" t="s">
        <v>187</v>
      </c>
      <c r="E247" s="172"/>
      <c r="F247" s="172"/>
      <c r="G247" s="172"/>
      <c r="H247" s="172"/>
      <c r="I247" s="172"/>
      <c r="J247" s="172"/>
      <c r="K247" s="172"/>
    </row>
    <row r="248" spans="2:11" ht="13.15" thickBot="1" x14ac:dyDescent="0.4">
      <c r="E248" s="17" t="s">
        <v>243</v>
      </c>
    </row>
    <row r="249" spans="2:11" ht="13.15" x14ac:dyDescent="0.35">
      <c r="C249" s="180" t="s">
        <v>188</v>
      </c>
      <c r="E249" s="257">
        <v>2.53E-2</v>
      </c>
      <c r="F249" s="257">
        <v>2.3700000000000002E-2</v>
      </c>
      <c r="G249" s="258">
        <v>2.3099999999999999E-2</v>
      </c>
      <c r="H249" s="258">
        <v>2.5699999999999997E-2</v>
      </c>
      <c r="I249" s="259">
        <v>2.7699999999999999E-2</v>
      </c>
      <c r="J249" s="259">
        <v>2.75E-2</v>
      </c>
      <c r="K249" s="257"/>
    </row>
    <row r="250" spans="2:11" ht="13.15" x14ac:dyDescent="0.35">
      <c r="C250" s="3" t="s">
        <v>189</v>
      </c>
      <c r="E250" s="182">
        <v>2.3699999999999999E-2</v>
      </c>
      <c r="F250" s="182">
        <v>2.1899999999999996E-2</v>
      </c>
      <c r="G250" s="260">
        <v>2.1399999999999995E-2</v>
      </c>
      <c r="H250" s="260">
        <v>2.4036263044325885E-2</v>
      </c>
      <c r="I250" s="261">
        <v>2.6180940503469072E-2</v>
      </c>
      <c r="J250" s="261">
        <v>2.5957293634308945E-2</v>
      </c>
      <c r="K250" s="262"/>
    </row>
    <row r="251" spans="2:11" ht="13.15" x14ac:dyDescent="0.35">
      <c r="C251" s="183" t="s">
        <v>190</v>
      </c>
      <c r="E251" s="184"/>
      <c r="F251" s="184"/>
      <c r="G251" s="184"/>
      <c r="H251" s="184"/>
      <c r="I251" s="184"/>
      <c r="J251" s="184"/>
      <c r="K251" s="184"/>
    </row>
    <row r="252" spans="2:11" ht="13.5" thickBot="1" x14ac:dyDescent="0.4">
      <c r="C252" s="185" t="s">
        <v>191</v>
      </c>
      <c r="E252" s="186"/>
      <c r="F252" s="186"/>
      <c r="G252" s="186"/>
      <c r="H252" s="186"/>
      <c r="I252" s="186"/>
      <c r="J252" s="186"/>
      <c r="K252" s="186"/>
    </row>
    <row r="254" spans="2:11" ht="13.5" thickBot="1" x14ac:dyDescent="0.4">
      <c r="B254" s="263" t="s">
        <v>192</v>
      </c>
    </row>
    <row r="255" spans="2:11" ht="13.15" x14ac:dyDescent="0.35">
      <c r="C255" s="188" t="s">
        <v>193</v>
      </c>
      <c r="E255" s="214">
        <v>0</v>
      </c>
      <c r="F255" s="214">
        <v>0</v>
      </c>
      <c r="G255" s="214">
        <v>100161</v>
      </c>
      <c r="H255" s="214">
        <v>119241</v>
      </c>
      <c r="I255" s="228">
        <v>150070</v>
      </c>
      <c r="J255" s="228">
        <v>170088</v>
      </c>
      <c r="K255" s="214">
        <v>174098</v>
      </c>
    </row>
    <row r="256" spans="2:11" ht="13.15" x14ac:dyDescent="0.35">
      <c r="C256" s="189" t="s">
        <v>194</v>
      </c>
      <c r="E256" s="63">
        <v>0</v>
      </c>
      <c r="F256" s="63">
        <v>0</v>
      </c>
      <c r="G256" s="63">
        <v>100161</v>
      </c>
      <c r="H256" s="63">
        <v>119241</v>
      </c>
      <c r="I256" s="63">
        <v>150070</v>
      </c>
      <c r="J256" s="63">
        <v>190041</v>
      </c>
      <c r="K256" s="63">
        <v>194051</v>
      </c>
    </row>
    <row r="257" spans="2:11" ht="13.15" x14ac:dyDescent="0.35">
      <c r="C257" s="27" t="s">
        <v>195</v>
      </c>
      <c r="E257" s="63">
        <v>0</v>
      </c>
      <c r="F257" s="63">
        <v>0</v>
      </c>
      <c r="G257" s="63">
        <v>115884</v>
      </c>
      <c r="H257" s="63">
        <v>149951</v>
      </c>
      <c r="I257" s="229">
        <v>181805</v>
      </c>
      <c r="J257" s="229">
        <v>234387</v>
      </c>
      <c r="K257" s="63">
        <v>241218</v>
      </c>
    </row>
    <row r="258" spans="2:11" ht="13.15" x14ac:dyDescent="0.35">
      <c r="C258" s="190" t="s">
        <v>196</v>
      </c>
      <c r="E258" s="77">
        <v>0</v>
      </c>
      <c r="F258" s="77">
        <v>0</v>
      </c>
      <c r="G258" s="77">
        <v>1170412</v>
      </c>
      <c r="H258" s="77">
        <v>1380432</v>
      </c>
      <c r="I258" s="232">
        <v>1661747</v>
      </c>
      <c r="J258" s="232">
        <v>2033715</v>
      </c>
      <c r="K258" s="77">
        <v>2101897</v>
      </c>
    </row>
    <row r="259" spans="2:11" ht="13.15" x14ac:dyDescent="0.4">
      <c r="C259" s="34" t="s">
        <v>197</v>
      </c>
      <c r="E259" s="184">
        <v>0</v>
      </c>
      <c r="F259" s="184">
        <v>0</v>
      </c>
      <c r="G259" s="184">
        <v>8.5600000000000009E-2</v>
      </c>
      <c r="H259" s="184">
        <v>8.6400000000000005E-2</v>
      </c>
      <c r="I259" s="264">
        <v>9.0299999999999991E-2</v>
      </c>
      <c r="J259" s="264">
        <v>8.3599999999999994E-2</v>
      </c>
      <c r="K259" s="184">
        <v>8.2799999999999999E-2</v>
      </c>
    </row>
    <row r="260" spans="2:11" ht="13.15" x14ac:dyDescent="0.4">
      <c r="C260" s="34" t="s">
        <v>198</v>
      </c>
      <c r="E260" s="265">
        <v>0</v>
      </c>
      <c r="F260" s="265">
        <v>0</v>
      </c>
      <c r="G260" s="265">
        <v>8.5600000000000009E-2</v>
      </c>
      <c r="H260" s="265">
        <v>8.6400000000000005E-2</v>
      </c>
      <c r="I260" s="266">
        <v>9.0299999999999991E-2</v>
      </c>
      <c r="J260" s="266">
        <v>9.3399999999999997E-2</v>
      </c>
      <c r="K260" s="265">
        <v>9.2300000000000007E-2</v>
      </c>
    </row>
    <row r="261" spans="2:11" ht="13.5" thickBot="1" x14ac:dyDescent="0.4">
      <c r="C261" s="185" t="s">
        <v>199</v>
      </c>
      <c r="E261" s="186">
        <v>0</v>
      </c>
      <c r="F261" s="186">
        <v>0</v>
      </c>
      <c r="G261" s="186">
        <v>9.9000000000000005E-2</v>
      </c>
      <c r="H261" s="186">
        <v>0.10859999999999999</v>
      </c>
      <c r="I261" s="267">
        <v>0.1094</v>
      </c>
      <c r="J261" s="267">
        <v>0.1153</v>
      </c>
      <c r="K261" s="186">
        <v>0.1148</v>
      </c>
    </row>
    <row r="264" spans="2:11" ht="13.15" x14ac:dyDescent="0.35">
      <c r="B264" s="114" t="s">
        <v>200</v>
      </c>
      <c r="C264" s="194"/>
    </row>
    <row r="265" spans="2:11" ht="13.5" thickBot="1" x14ac:dyDescent="0.4">
      <c r="B265" s="135"/>
      <c r="C265" s="107"/>
    </row>
    <row r="266" spans="2:11" ht="13.5" x14ac:dyDescent="0.4">
      <c r="B266" s="108"/>
      <c r="C266" s="118" t="s">
        <v>201</v>
      </c>
      <c r="E266" s="195">
        <v>6425</v>
      </c>
      <c r="F266" s="195">
        <v>10565.746999999999</v>
      </c>
      <c r="G266" s="195">
        <v>12517.657999999999</v>
      </c>
      <c r="H266" s="195">
        <v>15162</v>
      </c>
      <c r="I266" s="268">
        <v>21097</v>
      </c>
      <c r="J266" s="268">
        <v>29266</v>
      </c>
      <c r="K266" s="195"/>
    </row>
    <row r="267" spans="2:11" ht="13.5" x14ac:dyDescent="0.4">
      <c r="B267" s="108"/>
      <c r="C267" s="124" t="s">
        <v>202</v>
      </c>
      <c r="E267" s="132">
        <v>2058</v>
      </c>
      <c r="F267" s="132">
        <v>3037</v>
      </c>
      <c r="G267" s="132">
        <v>6675</v>
      </c>
      <c r="H267" s="132">
        <v>14613.999999999998</v>
      </c>
      <c r="I267" s="132">
        <v>29867</v>
      </c>
      <c r="J267" s="132">
        <v>45435</v>
      </c>
      <c r="K267" s="123"/>
    </row>
    <row r="268" spans="2:11" ht="13.15" x14ac:dyDescent="0.35">
      <c r="B268" s="135"/>
      <c r="C268" s="124" t="s">
        <v>203</v>
      </c>
      <c r="E268" s="63">
        <v>-236</v>
      </c>
      <c r="F268" s="63">
        <v>-1244</v>
      </c>
      <c r="G268" s="63">
        <v>-3194</v>
      </c>
      <c r="H268" s="63">
        <v>-6664</v>
      </c>
      <c r="I268" s="229">
        <v>-10009</v>
      </c>
      <c r="J268" s="229">
        <v>-29947.000000000004</v>
      </c>
      <c r="K268" s="63"/>
    </row>
    <row r="269" spans="2:11" ht="13.15" x14ac:dyDescent="0.35">
      <c r="B269" s="135"/>
      <c r="C269" s="124" t="s">
        <v>244</v>
      </c>
      <c r="E269" s="63">
        <v>1315</v>
      </c>
      <c r="F269" s="63">
        <v>0</v>
      </c>
      <c r="G269" s="63">
        <v>-808</v>
      </c>
      <c r="H269" s="63">
        <v>-2430</v>
      </c>
      <c r="I269" s="63">
        <v>-13574</v>
      </c>
      <c r="J269" s="63">
        <v>-5850</v>
      </c>
      <c r="K269" s="63"/>
    </row>
    <row r="270" spans="2:11" ht="13.5" x14ac:dyDescent="0.4">
      <c r="B270" s="108"/>
      <c r="C270" s="124" t="s">
        <v>142</v>
      </c>
      <c r="E270" s="197">
        <v>1004.0000000000001</v>
      </c>
      <c r="F270" s="197">
        <v>157.99999999999997</v>
      </c>
      <c r="G270" s="197">
        <v>-29.000000000000014</v>
      </c>
      <c r="H270" s="197">
        <v>414.99999999999994</v>
      </c>
      <c r="I270" s="197">
        <v>1885.0000000000002</v>
      </c>
      <c r="J270" s="197">
        <v>1028</v>
      </c>
      <c r="K270" s="197"/>
    </row>
    <row r="271" spans="2:11" ht="13.5" x14ac:dyDescent="0.4">
      <c r="B271" s="108"/>
      <c r="C271" s="174" t="s">
        <v>205</v>
      </c>
      <c r="E271" s="199">
        <v>10566</v>
      </c>
      <c r="F271" s="199">
        <v>12516.746999999999</v>
      </c>
      <c r="G271" s="199">
        <v>15161.657999999999</v>
      </c>
      <c r="H271" s="199">
        <v>21097</v>
      </c>
      <c r="I271" s="199">
        <v>29266</v>
      </c>
      <c r="J271" s="199">
        <v>39932</v>
      </c>
      <c r="K271" s="199"/>
    </row>
    <row r="272" spans="2:11" ht="13.9" thickBot="1" x14ac:dyDescent="0.45">
      <c r="B272" s="108"/>
      <c r="C272" s="202" t="s">
        <v>206</v>
      </c>
      <c r="E272" s="71">
        <v>2148.5740000000001</v>
      </c>
      <c r="F272" s="71">
        <v>3130.607</v>
      </c>
      <c r="G272" s="71">
        <v>6890</v>
      </c>
      <c r="H272" s="71">
        <v>15011</v>
      </c>
      <c r="I272" s="236">
        <v>30485</v>
      </c>
      <c r="J272" s="236">
        <v>46518</v>
      </c>
      <c r="K272" s="71"/>
    </row>
    <row r="273" spans="2:11" x14ac:dyDescent="0.35">
      <c r="E273" s="17">
        <v>0.25300000000061118</v>
      </c>
      <c r="F273" s="17">
        <v>-0.91100000000005821</v>
      </c>
      <c r="G273" s="17">
        <v>-0.34200000000055297</v>
      </c>
      <c r="H273" s="17">
        <v>0</v>
      </c>
      <c r="I273" s="17">
        <v>0</v>
      </c>
    </row>
    <row r="274" spans="2:11" x14ac:dyDescent="0.35">
      <c r="K274" s="24"/>
    </row>
    <row r="275" spans="2:11" ht="13.15" x14ac:dyDescent="0.35">
      <c r="B275" s="114" t="s">
        <v>207</v>
      </c>
      <c r="C275" s="194"/>
    </row>
    <row r="276" spans="2:11" ht="13.5" thickBot="1" x14ac:dyDescent="0.4">
      <c r="B276" s="114"/>
      <c r="C276" s="107"/>
    </row>
    <row r="277" spans="2:11" ht="13.15" x14ac:dyDescent="0.35">
      <c r="B277" s="135"/>
      <c r="C277" s="124" t="s">
        <v>208</v>
      </c>
      <c r="E277" s="214">
        <v>612937</v>
      </c>
      <c r="F277" s="214">
        <v>706738</v>
      </c>
      <c r="G277" s="214">
        <v>821721</v>
      </c>
      <c r="H277" s="214">
        <v>977284</v>
      </c>
      <c r="I277" s="228">
        <v>1148011</v>
      </c>
      <c r="J277" s="228">
        <v>1389396</v>
      </c>
      <c r="K277" s="214">
        <v>1457476</v>
      </c>
    </row>
    <row r="278" spans="2:11" ht="13.15" x14ac:dyDescent="0.35">
      <c r="B278" s="135"/>
      <c r="C278" s="124" t="s">
        <v>209</v>
      </c>
      <c r="E278" s="63">
        <v>4410</v>
      </c>
      <c r="F278" s="63">
        <v>7177</v>
      </c>
      <c r="G278" s="63">
        <v>18027</v>
      </c>
      <c r="H278" s="63">
        <v>36949</v>
      </c>
      <c r="I278" s="229">
        <v>50482</v>
      </c>
      <c r="J278" s="229">
        <v>60703</v>
      </c>
      <c r="K278" s="63">
        <v>63759</v>
      </c>
    </row>
    <row r="279" spans="2:11" ht="13.15" x14ac:dyDescent="0.35">
      <c r="B279" s="135"/>
      <c r="C279" s="124" t="s">
        <v>210</v>
      </c>
      <c r="E279" s="63">
        <v>1744</v>
      </c>
      <c r="F279" s="63">
        <v>5030</v>
      </c>
      <c r="G279" s="63">
        <v>4375</v>
      </c>
      <c r="H279" s="63">
        <v>4374</v>
      </c>
      <c r="I279" s="229">
        <v>7945</v>
      </c>
      <c r="J279" s="229">
        <v>13833</v>
      </c>
      <c r="K279" s="63">
        <v>15822</v>
      </c>
    </row>
    <row r="280" spans="2:11" ht="13.15" x14ac:dyDescent="0.35">
      <c r="B280" s="135"/>
      <c r="C280" s="124" t="s">
        <v>211</v>
      </c>
      <c r="E280" s="63">
        <v>893</v>
      </c>
      <c r="F280" s="63">
        <v>962</v>
      </c>
      <c r="G280" s="63">
        <v>1575</v>
      </c>
      <c r="H280" s="63">
        <v>2146</v>
      </c>
      <c r="I280" s="229">
        <v>2141</v>
      </c>
      <c r="J280" s="229">
        <v>4494</v>
      </c>
      <c r="K280" s="63">
        <v>4950</v>
      </c>
    </row>
    <row r="281" spans="2:11" ht="13.15" x14ac:dyDescent="0.35">
      <c r="B281" s="135"/>
      <c r="C281" s="124" t="s">
        <v>212</v>
      </c>
      <c r="E281" s="129">
        <v>658</v>
      </c>
      <c r="F281" s="129">
        <v>874</v>
      </c>
      <c r="G281" s="129">
        <v>1591</v>
      </c>
      <c r="H281" s="129">
        <v>3981</v>
      </c>
      <c r="I281" s="235">
        <v>7559</v>
      </c>
      <c r="J281" s="235">
        <v>7375</v>
      </c>
      <c r="K281" s="129">
        <v>6155</v>
      </c>
    </row>
    <row r="282" spans="2:11" ht="13.5" x14ac:dyDescent="0.4">
      <c r="B282" s="108"/>
      <c r="C282" s="174" t="s">
        <v>213</v>
      </c>
      <c r="E282" s="233">
        <v>3295</v>
      </c>
      <c r="F282" s="233">
        <v>6866</v>
      </c>
      <c r="G282" s="233">
        <v>7541</v>
      </c>
      <c r="H282" s="233">
        <v>10501</v>
      </c>
      <c r="I282" s="234">
        <v>17645</v>
      </c>
      <c r="J282" s="234">
        <v>25702</v>
      </c>
      <c r="K282" s="233">
        <v>26927</v>
      </c>
    </row>
    <row r="283" spans="2:11" ht="13.5" x14ac:dyDescent="0.4">
      <c r="B283" s="108"/>
      <c r="C283" s="114" t="s">
        <v>135</v>
      </c>
      <c r="E283" s="204">
        <v>620641.08299999998</v>
      </c>
      <c r="F283" s="204">
        <v>720780.04800000007</v>
      </c>
      <c r="G283" s="204">
        <v>847289</v>
      </c>
      <c r="H283" s="204">
        <v>1024734</v>
      </c>
      <c r="I283" s="204">
        <v>1216138</v>
      </c>
      <c r="J283" s="204">
        <v>1475801</v>
      </c>
      <c r="K283" s="204">
        <v>1548162</v>
      </c>
    </row>
    <row r="284" spans="2:11" ht="13.9" thickBot="1" x14ac:dyDescent="0.45">
      <c r="B284" s="108"/>
      <c r="C284" s="133" t="s">
        <v>214</v>
      </c>
      <c r="E284" s="269">
        <v>5.3E-3</v>
      </c>
      <c r="F284" s="269">
        <v>9.4999999999999998E-3</v>
      </c>
      <c r="G284" s="269">
        <v>8.8999999999999999E-3</v>
      </c>
      <c r="H284" s="269">
        <v>1.0200000000000001E-2</v>
      </c>
      <c r="I284" s="269">
        <v>1.4499999999999999E-2</v>
      </c>
      <c r="J284" s="269">
        <v>1.7399999999999999E-2</v>
      </c>
      <c r="K284" s="269">
        <v>1.7399999999999999E-2</v>
      </c>
    </row>
    <row r="285" spans="2:11" s="58" customFormat="1" ht="13.15" x14ac:dyDescent="0.35">
      <c r="B285" s="205"/>
      <c r="C285" s="57" t="s">
        <v>91</v>
      </c>
      <c r="E285" s="59">
        <v>-0.91700000001583248</v>
      </c>
      <c r="F285" s="59">
        <v>-0.95199999993201345</v>
      </c>
      <c r="G285" s="59">
        <v>0</v>
      </c>
      <c r="H285" s="59">
        <v>0</v>
      </c>
      <c r="I285" s="59">
        <v>0</v>
      </c>
      <c r="J285" s="59">
        <v>0</v>
      </c>
      <c r="K285" s="59">
        <v>0</v>
      </c>
    </row>
    <row r="286" spans="2:11" x14ac:dyDescent="0.35">
      <c r="B286" s="135"/>
      <c r="C286" s="206"/>
      <c r="E286" s="17">
        <v>-5.6022600999999668</v>
      </c>
      <c r="F286" s="17">
        <v>-18.589543999999478</v>
      </c>
      <c r="G286" s="17">
        <v>-0.12790000000040891</v>
      </c>
      <c r="H286" s="17">
        <v>-48.713200000000143</v>
      </c>
      <c r="I286" s="33">
        <v>-10.998999999999796</v>
      </c>
      <c r="J286" s="33">
        <v>-23.062600000001112</v>
      </c>
      <c r="K286" s="17">
        <v>11.018799999998009</v>
      </c>
    </row>
    <row r="287" spans="2:11" ht="13.15" x14ac:dyDescent="0.35">
      <c r="B287" s="114" t="s">
        <v>215</v>
      </c>
      <c r="C287" s="206"/>
    </row>
    <row r="288" spans="2:11" ht="13.5" thickBot="1" x14ac:dyDescent="0.4">
      <c r="B288" s="208"/>
      <c r="C288" s="107"/>
    </row>
    <row r="289" spans="2:11" ht="13.15" x14ac:dyDescent="0.35">
      <c r="B289" s="128"/>
      <c r="C289" s="209" t="s">
        <v>216</v>
      </c>
      <c r="E289" s="214">
        <v>5724.3990000000003</v>
      </c>
      <c r="F289" s="214">
        <v>7672.2309999999998</v>
      </c>
      <c r="G289" s="214">
        <v>9798</v>
      </c>
      <c r="H289" s="214">
        <v>16697</v>
      </c>
      <c r="I289" s="228">
        <v>23402</v>
      </c>
      <c r="J289" s="228">
        <v>20093</v>
      </c>
      <c r="K289" s="214">
        <v>0</v>
      </c>
    </row>
    <row r="290" spans="2:11" x14ac:dyDescent="0.35">
      <c r="B290" s="135"/>
      <c r="C290" s="209" t="s">
        <v>217</v>
      </c>
      <c r="E290" s="63">
        <v>1154.846</v>
      </c>
      <c r="F290" s="63">
        <v>7345.2219999999998</v>
      </c>
      <c r="G290" s="63">
        <v>11208</v>
      </c>
      <c r="H290" s="63">
        <v>18605</v>
      </c>
      <c r="I290" s="229">
        <v>21322</v>
      </c>
      <c r="J290" s="229">
        <v>25617</v>
      </c>
      <c r="K290" s="63">
        <v>0</v>
      </c>
    </row>
    <row r="291" spans="2:11" x14ac:dyDescent="0.35">
      <c r="B291" s="135"/>
      <c r="C291" s="209" t="s">
        <v>218</v>
      </c>
      <c r="E291" s="63">
        <v>835</v>
      </c>
      <c r="F291" s="63">
        <v>2048</v>
      </c>
      <c r="G291" s="63">
        <v>5443</v>
      </c>
      <c r="H291" s="63">
        <v>10556</v>
      </c>
      <c r="I291" s="229">
        <v>11685</v>
      </c>
      <c r="J291" s="229">
        <v>11972</v>
      </c>
      <c r="K291" s="63">
        <v>0</v>
      </c>
    </row>
    <row r="292" spans="2:11" x14ac:dyDescent="0.35">
      <c r="B292" s="135"/>
      <c r="C292" s="209" t="s">
        <v>219</v>
      </c>
      <c r="E292" s="129">
        <v>757.16200000000003</v>
      </c>
      <c r="F292" s="129">
        <v>328.67899999999997</v>
      </c>
      <c r="G292" s="129">
        <v>61</v>
      </c>
      <c r="H292" s="129">
        <v>137</v>
      </c>
      <c r="I292" s="235">
        <v>1018</v>
      </c>
      <c r="J292" s="235">
        <v>2943</v>
      </c>
      <c r="K292" s="129">
        <v>0</v>
      </c>
    </row>
    <row r="293" spans="2:11" ht="13.5" thickBot="1" x14ac:dyDescent="0.45">
      <c r="B293" s="108"/>
      <c r="C293" s="210" t="s">
        <v>220</v>
      </c>
      <c r="E293" s="211">
        <v>8471.4070000000011</v>
      </c>
      <c r="F293" s="211">
        <v>17394.132000000001</v>
      </c>
      <c r="G293" s="211">
        <v>26510</v>
      </c>
      <c r="H293" s="211">
        <v>45995</v>
      </c>
      <c r="I293" s="211">
        <v>57427</v>
      </c>
      <c r="J293" s="211">
        <v>60625</v>
      </c>
      <c r="K293" s="211">
        <v>0</v>
      </c>
    </row>
    <row r="294" spans="2:11" x14ac:dyDescent="0.35">
      <c r="B294" s="135"/>
      <c r="C294" s="206"/>
      <c r="E294" s="17">
        <v>-0.28700000000026193</v>
      </c>
      <c r="F294" s="17">
        <v>-0.44599999999991269</v>
      </c>
      <c r="G294" s="17">
        <v>0</v>
      </c>
      <c r="H294" s="17">
        <v>0</v>
      </c>
      <c r="I294" s="17">
        <v>0</v>
      </c>
      <c r="J294" s="17">
        <v>0</v>
      </c>
    </row>
    <row r="295" spans="2:11" ht="13.5" thickBot="1" x14ac:dyDescent="0.4">
      <c r="B295" s="114" t="s">
        <v>221</v>
      </c>
    </row>
    <row r="296" spans="2:11" ht="13.15" x14ac:dyDescent="0.35">
      <c r="B296" s="128"/>
      <c r="C296" s="213" t="s">
        <v>222</v>
      </c>
      <c r="E296" s="214"/>
      <c r="F296" s="214">
        <v>1383.3046123199999</v>
      </c>
      <c r="G296" s="214">
        <v>1523.3193049599997</v>
      </c>
      <c r="H296" s="214">
        <v>1987.931692938</v>
      </c>
      <c r="I296" s="228">
        <v>2189.2274492669999</v>
      </c>
      <c r="J296" s="228">
        <v>2712.9249958280002</v>
      </c>
      <c r="K296" s="214"/>
    </row>
    <row r="297" spans="2:11" ht="13.5" thickBot="1" x14ac:dyDescent="0.4">
      <c r="C297" s="219" t="s">
        <v>223</v>
      </c>
      <c r="E297" s="216"/>
      <c r="F297" s="216">
        <v>0.16999999999999998</v>
      </c>
      <c r="G297" s="216">
        <v>0.16</v>
      </c>
      <c r="H297" s="216">
        <v>0.17399999999999999</v>
      </c>
      <c r="I297" s="216">
        <v>0.153</v>
      </c>
      <c r="J297" s="216">
        <v>0.158</v>
      </c>
      <c r="K297" s="216"/>
    </row>
    <row r="300" spans="2:11" ht="13.5" thickBot="1" x14ac:dyDescent="0.4">
      <c r="B300" s="114" t="s">
        <v>245</v>
      </c>
    </row>
    <row r="301" spans="2:11" ht="13.15" x14ac:dyDescent="0.35">
      <c r="B301" s="128"/>
      <c r="C301" s="213" t="s">
        <v>246</v>
      </c>
      <c r="E301" s="218">
        <v>0.72944199999999992</v>
      </c>
      <c r="F301" s="218">
        <v>0.69609999999999994</v>
      </c>
      <c r="G301" s="218">
        <v>0.68640000000000001</v>
      </c>
      <c r="H301" s="218">
        <v>0.65390000000000004</v>
      </c>
      <c r="I301" s="218">
        <v>0.69010000000000005</v>
      </c>
      <c r="J301" s="218">
        <v>0.75209999999999999</v>
      </c>
      <c r="K301" s="218">
        <v>0.80967299999999998</v>
      </c>
    </row>
    <row r="305" spans="2:12" s="544" customFormat="1" ht="13.15" thickBot="1" x14ac:dyDescent="0.4"/>
    <row r="306" spans="2:12" s="286" customFormat="1" ht="13.9" thickTop="1" x14ac:dyDescent="0.4">
      <c r="B306" s="286" t="s">
        <v>463</v>
      </c>
      <c r="C306" s="467"/>
      <c r="D306" s="467"/>
      <c r="E306" s="467"/>
      <c r="F306" s="467"/>
      <c r="G306" s="467"/>
      <c r="H306" s="467"/>
      <c r="I306" s="468"/>
      <c r="J306" s="467"/>
      <c r="K306" s="467"/>
    </row>
    <row r="308" spans="2:12" x14ac:dyDescent="0.35">
      <c r="C308" s="572" t="s">
        <v>597</v>
      </c>
      <c r="E308" s="574">
        <v>40908</v>
      </c>
      <c r="F308" s="574">
        <v>41274</v>
      </c>
      <c r="G308" s="574">
        <v>41639</v>
      </c>
      <c r="H308" s="574">
        <v>42004</v>
      </c>
      <c r="I308" s="574">
        <v>42369</v>
      </c>
      <c r="J308" s="574">
        <v>42551</v>
      </c>
      <c r="K308" s="574">
        <v>42735</v>
      </c>
      <c r="L308" s="574">
        <v>42916</v>
      </c>
    </row>
    <row r="309" spans="2:12" x14ac:dyDescent="0.35">
      <c r="C309" s="573" t="s">
        <v>587</v>
      </c>
      <c r="E309" s="575"/>
      <c r="F309" s="572">
        <v>105.67</v>
      </c>
      <c r="G309" s="572">
        <v>125.18</v>
      </c>
      <c r="H309" s="572">
        <v>151.62</v>
      </c>
      <c r="I309" s="572">
        <v>210.97</v>
      </c>
      <c r="J309" s="572">
        <v>292.66000000000003</v>
      </c>
      <c r="K309" s="572">
        <v>292.66000000000003</v>
      </c>
      <c r="L309" s="693">
        <v>399.32</v>
      </c>
    </row>
    <row r="310" spans="2:12" x14ac:dyDescent="0.35">
      <c r="C310" s="573" t="s">
        <v>588</v>
      </c>
      <c r="E310" s="573"/>
      <c r="F310" s="572">
        <v>30.37</v>
      </c>
      <c r="G310" s="572">
        <v>66.75</v>
      </c>
      <c r="H310" s="572">
        <v>146.13999999999999</v>
      </c>
      <c r="I310" s="572">
        <v>298.67</v>
      </c>
      <c r="J310" s="572">
        <v>197.14</v>
      </c>
      <c r="K310" s="572">
        <v>454.35</v>
      </c>
      <c r="L310" s="693">
        <v>228.56</v>
      </c>
    </row>
    <row r="311" spans="2:12" x14ac:dyDescent="0.35">
      <c r="C311" s="573" t="s">
        <v>589</v>
      </c>
      <c r="E311" s="573"/>
      <c r="F311" s="572">
        <v>-12.44</v>
      </c>
      <c r="G311" s="572">
        <v>-31.94</v>
      </c>
      <c r="H311" s="572">
        <v>-66.64</v>
      </c>
      <c r="I311" s="572">
        <v>-100.09</v>
      </c>
      <c r="J311" s="572">
        <v>-109.08</v>
      </c>
      <c r="K311" s="572">
        <v>-299.47000000000003</v>
      </c>
      <c r="L311" s="693">
        <v>-188.9</v>
      </c>
    </row>
    <row r="312" spans="2:12" x14ac:dyDescent="0.35">
      <c r="C312" s="573" t="s">
        <v>590</v>
      </c>
      <c r="E312" s="573"/>
      <c r="F312" s="572">
        <v>4.22</v>
      </c>
      <c r="G312" s="572">
        <v>3.91</v>
      </c>
      <c r="H312" s="572">
        <v>7.39</v>
      </c>
      <c r="I312" s="572">
        <v>23.84</v>
      </c>
      <c r="J312" s="572">
        <v>6.94</v>
      </c>
      <c r="K312" s="572">
        <v>15.08</v>
      </c>
      <c r="L312" s="693">
        <v>17.68</v>
      </c>
    </row>
    <row r="313" spans="2:12" x14ac:dyDescent="0.35">
      <c r="C313" s="573" t="s">
        <v>591</v>
      </c>
      <c r="E313" s="573"/>
      <c r="F313" s="572"/>
      <c r="G313" s="572">
        <v>-8.08</v>
      </c>
      <c r="H313" s="572">
        <v>-24.3</v>
      </c>
      <c r="I313" s="572">
        <v>-135.74</v>
      </c>
      <c r="J313" s="572">
        <v>-44.33</v>
      </c>
      <c r="K313" s="572">
        <v>-58.5</v>
      </c>
      <c r="L313" s="693">
        <v>-0.27</v>
      </c>
    </row>
    <row r="314" spans="2:12" x14ac:dyDescent="0.35">
      <c r="C314" s="573" t="s">
        <v>592</v>
      </c>
      <c r="E314" s="694"/>
      <c r="F314" s="572">
        <v>-2.19</v>
      </c>
      <c r="G314" s="572">
        <v>-4.03</v>
      </c>
      <c r="H314" s="572">
        <v>-3.13</v>
      </c>
      <c r="I314" s="572">
        <v>-4.0599999999999996</v>
      </c>
      <c r="J314" s="572">
        <v>-2.44</v>
      </c>
      <c r="K314" s="572">
        <v>-5.44</v>
      </c>
      <c r="L314" s="693">
        <v>-3.36</v>
      </c>
    </row>
    <row r="315" spans="2:12" x14ac:dyDescent="0.35">
      <c r="C315" s="573" t="s">
        <v>593</v>
      </c>
      <c r="E315" s="573"/>
      <c r="F315" s="572">
        <v>-0.45</v>
      </c>
      <c r="G315" s="572">
        <v>-0.17</v>
      </c>
      <c r="H315" s="572">
        <v>-0.11</v>
      </c>
      <c r="I315" s="572">
        <v>-0.93</v>
      </c>
      <c r="J315" s="572">
        <v>-0.03</v>
      </c>
      <c r="K315" s="572">
        <v>0.64</v>
      </c>
      <c r="L315" s="693">
        <v>-0.74</v>
      </c>
    </row>
    <row r="316" spans="2:12" x14ac:dyDescent="0.35">
      <c r="C316" s="573" t="s">
        <v>594</v>
      </c>
      <c r="E316" s="694"/>
      <c r="F316" s="572">
        <v>125.18</v>
      </c>
      <c r="G316" s="572">
        <v>151.62</v>
      </c>
      <c r="H316" s="572">
        <v>210.97</v>
      </c>
      <c r="I316" s="572">
        <v>292.66000000000003</v>
      </c>
      <c r="J316" s="572">
        <v>340.86</v>
      </c>
      <c r="K316" s="572">
        <v>399.32</v>
      </c>
      <c r="L316" s="693">
        <v>452.29</v>
      </c>
    </row>
    <row r="317" spans="2:12" x14ac:dyDescent="0.35">
      <c r="C317" s="572" t="s">
        <v>595</v>
      </c>
      <c r="E317" s="576">
        <f>[2]!s_stmnote_bank_26($A307,E$2,1,100000000)</f>
        <v>0</v>
      </c>
      <c r="F317" s="576">
        <f>[2]!s_stmnote_bank_26($A307,F$2,1,100000000)</f>
        <v>0</v>
      </c>
      <c r="G317" s="576">
        <f>[2]!s_stmnote_bank_26($A307,G$2,1,100000000)</f>
        <v>0</v>
      </c>
      <c r="H317" s="576">
        <f>[2]!s_stmnote_bank_26($A307,H$2,1,100000000)</f>
        <v>0</v>
      </c>
      <c r="I317" s="576">
        <f>[2]!s_stmnote_bank_26($A307,I$2,1,100000000)</f>
        <v>0</v>
      </c>
      <c r="J317" s="576">
        <f>[2]!s_stmnote_bank_26($A307,J$2,1,100000000)</f>
        <v>0</v>
      </c>
      <c r="K317" s="576">
        <f>[2]!s_stmnote_bank_26($A307,K$2,1,100000000)</f>
        <v>0</v>
      </c>
      <c r="L317" s="695">
        <v>280.37</v>
      </c>
    </row>
    <row r="318" spans="2:12" x14ac:dyDescent="0.35">
      <c r="C318" s="572" t="s">
        <v>596</v>
      </c>
      <c r="E318" s="576">
        <f>[2]!s_stmnote_bank_1n($A307,E$2,1,100000000)</f>
        <v>0</v>
      </c>
      <c r="F318" s="576">
        <f>[2]!s_stmnote_bank_1n($A307,F$2,1,100000000)</f>
        <v>0</v>
      </c>
      <c r="G318" s="576">
        <f>[2]!s_stmnote_bank_1n($A307,G$2,1,100000000)</f>
        <v>0</v>
      </c>
      <c r="H318" s="576">
        <f>[2]!s_stmnote_bank_1n($A307,H$2,1,100000000)</f>
        <v>0</v>
      </c>
      <c r="I318" s="576">
        <f>[2]!s_stmnote_bank_1n($A307,I$2,1,100000000)</f>
        <v>0</v>
      </c>
      <c r="J318" s="576">
        <f>[2]!s_stmnote_bank_1n($A307,J$2,1,100000000)</f>
        <v>0</v>
      </c>
      <c r="K318" s="576">
        <f>[2]!s_stmnote_bank_1n($A307,K$2,1,100000000)</f>
        <v>0</v>
      </c>
      <c r="L318" s="696">
        <v>15490.52</v>
      </c>
    </row>
    <row r="321" spans="2:12" x14ac:dyDescent="0.35">
      <c r="E321" s="577" t="s">
        <v>513</v>
      </c>
      <c r="F321" s="578">
        <v>2012</v>
      </c>
      <c r="G321" s="578">
        <v>2013</v>
      </c>
      <c r="H321" s="578">
        <v>2014</v>
      </c>
      <c r="I321" s="578">
        <v>2015</v>
      </c>
      <c r="J321" s="579" t="s">
        <v>260</v>
      </c>
      <c r="K321" s="697">
        <v>2016</v>
      </c>
      <c r="L321" s="698" t="s">
        <v>261</v>
      </c>
    </row>
    <row r="322" spans="2:12" x14ac:dyDescent="0.35">
      <c r="E322" s="582" t="s">
        <v>514</v>
      </c>
      <c r="F322" s="583">
        <v>30.37</v>
      </c>
      <c r="G322" s="583">
        <v>66.75</v>
      </c>
      <c r="H322" s="583">
        <v>146.13999999999999</v>
      </c>
      <c r="I322" s="583">
        <v>298.67</v>
      </c>
      <c r="J322" s="583">
        <v>197.14</v>
      </c>
      <c r="K322" s="582">
        <v>454.35</v>
      </c>
      <c r="L322" s="699">
        <v>228.56</v>
      </c>
    </row>
    <row r="323" spans="2:12" x14ac:dyDescent="0.35">
      <c r="E323" s="585" t="s">
        <v>515</v>
      </c>
      <c r="F323" s="556">
        <v>-12.44</v>
      </c>
      <c r="G323" s="556">
        <v>-40.020000000000003</v>
      </c>
      <c r="H323" s="556">
        <v>-90.94</v>
      </c>
      <c r="I323" s="556">
        <v>-235.83</v>
      </c>
      <c r="J323" s="556">
        <v>-153.41</v>
      </c>
      <c r="K323" s="585">
        <v>-357.97</v>
      </c>
      <c r="L323" s="700">
        <v>-189.17000000000002</v>
      </c>
    </row>
    <row r="324" spans="2:12" x14ac:dyDescent="0.35">
      <c r="E324" s="587" t="s">
        <v>509</v>
      </c>
      <c r="F324" s="588">
        <v>4.22</v>
      </c>
      <c r="G324" s="588">
        <v>3.91</v>
      </c>
      <c r="H324" s="588">
        <v>7.39</v>
      </c>
      <c r="I324" s="588">
        <v>23.84</v>
      </c>
      <c r="J324" s="588">
        <v>6.94</v>
      </c>
      <c r="K324" s="701">
        <v>15.08</v>
      </c>
      <c r="L324" s="701">
        <v>17.68</v>
      </c>
    </row>
    <row r="325" spans="2:12" x14ac:dyDescent="0.35">
      <c r="E325" s="556"/>
      <c r="F325" s="556"/>
      <c r="G325" s="556"/>
      <c r="H325" s="556"/>
      <c r="I325" s="556"/>
      <c r="J325" s="556"/>
      <c r="K325" s="556"/>
      <c r="L325" s="556"/>
    </row>
    <row r="326" spans="2:12" x14ac:dyDescent="0.35">
      <c r="E326" s="556"/>
      <c r="F326" s="590">
        <v>2012</v>
      </c>
      <c r="G326" s="591">
        <v>2013</v>
      </c>
      <c r="H326" s="591">
        <v>2014</v>
      </c>
      <c r="I326" s="591">
        <v>2015</v>
      </c>
      <c r="J326" s="592" t="s">
        <v>260</v>
      </c>
      <c r="K326" s="697">
        <v>2016</v>
      </c>
      <c r="L326" s="698" t="s">
        <v>261</v>
      </c>
    </row>
    <row r="327" spans="2:12" x14ac:dyDescent="0.35">
      <c r="E327" s="593" t="s">
        <v>516</v>
      </c>
      <c r="F327" s="594">
        <v>48.149999999999991</v>
      </c>
      <c r="G327" s="595">
        <v>46.77</v>
      </c>
      <c r="H327" s="595">
        <v>120.54</v>
      </c>
      <c r="I327" s="595">
        <v>307.27</v>
      </c>
      <c r="J327" s="595">
        <v>188.91</v>
      </c>
      <c r="K327" s="702">
        <v>438.54</v>
      </c>
      <c r="L327" s="596">
        <v>212.52000000000004</v>
      </c>
    </row>
    <row r="328" spans="2:12" x14ac:dyDescent="0.35">
      <c r="E328" s="593" t="s">
        <v>517</v>
      </c>
      <c r="F328" s="597">
        <v>7.7580979368652488E-3</v>
      </c>
      <c r="G328" s="598">
        <v>6.4888033637690266E-3</v>
      </c>
      <c r="H328" s="598">
        <v>1.4226550799078003E-2</v>
      </c>
      <c r="I328" s="598">
        <v>2.9985342537673189E-2</v>
      </c>
      <c r="J328" s="598">
        <v>1.5533598983010153E-2</v>
      </c>
      <c r="K328" s="597">
        <v>3.6060052395369607E-2</v>
      </c>
      <c r="L328" s="703">
        <v>1.4400315489690008E-2</v>
      </c>
    </row>
    <row r="333" spans="2:12" s="544" customFormat="1" ht="13.15" thickBot="1" x14ac:dyDescent="0.4"/>
    <row r="334" spans="2:12" s="286" customFormat="1" ht="13.9" thickTop="1" x14ac:dyDescent="0.4">
      <c r="B334" s="27" t="s">
        <v>494</v>
      </c>
    </row>
    <row r="336" spans="2:12" ht="13.15" x14ac:dyDescent="0.35">
      <c r="C336" s="263" t="s">
        <v>598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6</vt:i4>
      </vt:variant>
    </vt:vector>
  </HeadingPairs>
  <TitlesOfParts>
    <vt:vector size="12" baseType="lpstr">
      <vt:lpstr>首页</vt:lpstr>
      <vt:lpstr>辅助页</vt:lpstr>
      <vt:lpstr>工商银行</vt:lpstr>
      <vt:lpstr>光大银行</vt:lpstr>
      <vt:lpstr>交通银行</vt:lpstr>
      <vt:lpstr>平安银行</vt:lpstr>
      <vt:lpstr>财务报表</vt:lpstr>
      <vt:lpstr>利润表</vt:lpstr>
      <vt:lpstr>投资类资产分析</vt:lpstr>
      <vt:lpstr>专题分析</vt:lpstr>
      <vt:lpstr>资产负债表</vt:lpstr>
      <vt:lpstr>资产质量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2017-09-19T12:26:16Z</dcterms:modified>
</cp:coreProperties>
</file>